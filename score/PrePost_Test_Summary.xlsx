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01_สรุปภาพรวม" sheetId="1" state="visible" r:id="rId3"/>
    <sheet name="02_เฉลย" sheetId="2" state="visible" r:id="rId4"/>
    <sheet name="03_คะแนน_PreTest" sheetId="3" state="visible" r:id="rId5"/>
    <sheet name="04_คะแนน_PostTest" sheetId="4" state="visible" r:id="rId6"/>
    <sheet name="05_เปรียบเทียบ_PrePost" sheetId="5" state="visible" r:id="rId7"/>
    <sheet name="06_วิเคราะห์รายข้อ" sheetId="6" state="visible" r:id="rId8"/>
    <sheet name="07_วิเคราะห์รายหมวด" sheetId="7" state="visible" r:id="rId9"/>
    <sheet name="08_แยกตามห้อง" sheetId="8" state="visible" r:id="rId10"/>
    <sheet name="09_การกระจายคะแนน" sheetId="9" state="visible" r:id="rId11"/>
    <sheet name="10_พฤติกรรมการเงิน" sheetId="10" state="visible" r:id="rId12"/>
    <sheet name="11_หมายเหตุ_วิธีคำนวณ" sheetId="11" state="visible" r:id="rId1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<sst xmlns="http://schemas.openxmlformats.org/spreadsheetml/2006/main" count="870" uniqueCount="376">
  <si>
    <t xml:space="preserve">สรุปผล Pre Test / Post Test — โครงการรุ่นพี่การเงิน</t>
  </si>
  <si>
    <t xml:space="preserve">โรงเรียนเตรียมอุดมศึกษาพัฒนาการ ยานนาเวศ | ข้อสอบความรู้การเงิน 25 ข้อ + พฤติกรรมการเงิน 5 ข้อ</t>
  </si>
  <si>
    <t xml:space="preserve">ภาพรวมการเข้าร่วม</t>
  </si>
  <si>
    <t xml:space="preserve">รายการ</t>
  </si>
  <si>
    <t xml:space="preserve">Pre Test</t>
  </si>
  <si>
    <t xml:space="preserve">Post Test</t>
  </si>
  <si>
    <t xml:space="preserve">ผลต่าง</t>
  </si>
  <si>
    <t xml:space="preserve">จำนวนผู้ทำแบบทดสอบ (คน)</t>
  </si>
  <si>
    <t xml:space="preserve">คะแนนเฉลี่ย (เต็ม 25)</t>
  </si>
  <si>
    <t xml:space="preserve">คะแนนเฉลี่ย (ร้อยละ)</t>
  </si>
  <si>
    <t xml:space="preserve">มัธยฐาน</t>
  </si>
  <si>
    <t xml:space="preserve">คะแนนสูงสุด</t>
  </si>
  <si>
    <t xml:space="preserve">คะแนนต่ำสุด</t>
  </si>
  <si>
    <t xml:space="preserve">ส่วนเบี่ยงเบนมาตรฐาน</t>
  </si>
  <si>
    <t xml:space="preserve">ผลการพัฒนา (เฉพาะผู้ทำครบทั้ง 2 ครั้ง — 22 คน)</t>
  </si>
  <si>
    <t xml:space="preserve">ตัวชี้วัด</t>
  </si>
  <si>
    <t xml:space="preserve">ค่า</t>
  </si>
  <si>
    <t xml:space="preserve">จำนวนผู้จับคู่ได้ (คน)</t>
  </si>
  <si>
    <t xml:space="preserve">คะแนนเฉลี่ย Pre</t>
  </si>
  <si>
    <t xml:space="preserve">คะแนนเฉลี่ย Post</t>
  </si>
  <si>
    <t xml:space="preserve">ผลต่างเฉลี่ย (คะแนน)</t>
  </si>
  <si>
    <t xml:space="preserve">อัตราการเพิ่มขึ้น (%)</t>
  </si>
  <si>
    <t xml:space="preserve">Normalized Gain เฉลี่ย</t>
  </si>
  <si>
    <t xml:space="preserve">จำนวนที่คะแนนเพิ่มขึ้น (คน)</t>
  </si>
  <si>
    <t xml:space="preserve">จำนวนที่คะแนนเท่าเดิม (คน)</t>
  </si>
  <si>
    <t xml:space="preserve">จำนวนที่คะแนนลดลง (คน)</t>
  </si>
  <si>
    <t xml:space="preserve">สัดส่วนผู้ที่พัฒนาขึ้น</t>
  </si>
  <si>
    <t xml:space="preserve">สรุปตามหมวดความรู้</t>
  </si>
  <si>
    <t xml:space="preserve">หมวด</t>
  </si>
  <si>
    <t xml:space="preserve">% ถูก Pre</t>
  </si>
  <si>
    <t xml:space="preserve">% ถูก Post</t>
  </si>
  <si>
    <t xml:space="preserve">รายรับ-รายจ่าย</t>
  </si>
  <si>
    <t xml:space="preserve">พฤติกรรมผู้บริโภค</t>
  </si>
  <si>
    <t xml:space="preserve">การออม/เป้าหมาย</t>
  </si>
  <si>
    <t xml:space="preserve">หนี้สิน/สินทรัพย์</t>
  </si>
  <si>
    <t xml:space="preserve">ธุรกิจ/รายได้</t>
  </si>
  <si>
    <t xml:space="preserve">การลงทุน</t>
  </si>
  <si>
    <t xml:space="preserve">เฉลยข้อสอบ (Answer Key)</t>
  </si>
  <si>
    <t xml:space="preserve">แก้ค่าในคอลัมน์ 'คำตอบที่ถูก' ได้ แล้วแจ้งให้คำนวณคะแนนใหม่ | ข้อปรนัย = เลขตัวเลือก, ข้ออัตนัย = ตัวเลข</t>
  </si>
  <si>
    <t xml:space="preserve">ข้อ</t>
  </si>
  <si>
    <t xml:space="preserve">ประเด็น</t>
  </si>
  <si>
    <t xml:space="preserve">ประเภท</t>
  </si>
  <si>
    <t xml:space="preserve">คำตอบที่ถูก</t>
  </si>
  <si>
    <t xml:space="preserve">คำอธิบายคำตอบ</t>
  </si>
  <si>
    <t xml:space="preserve">คำถามเต็ม</t>
  </si>
  <si>
    <t xml:space="preserve">ไม่เป็นรายรับ</t>
  </si>
  <si>
    <t xml:space="preserve">ปรนัย</t>
  </si>
  <si>
    <t xml:space="preserve">2</t>
  </si>
  <si>
    <t xml:space="preserve">วงเงินบัตรเครดิต</t>
  </si>
  <si>
    <t xml:space="preserve">1. ข้อใดต่อไปนี้ไม่เป็นรายรับ</t>
  </si>
  <si>
    <t xml:space="preserve">บริหารกระแสเงินสด</t>
  </si>
  <si>
    <t xml:space="preserve">1</t>
  </si>
  <si>
    <t xml:space="preserve">รับทุกสิ้นวัน วันละ 500 บาท</t>
  </si>
  <si>
    <t xml:space="preserve">2. เราทำงานพิเศษอยู่ที่บริษัทแห่งหนึ่ง 5 วันต่อสัปดาห์ ได้รับค่าจ้างวันละ 500 บาท เจ้านายให้เราเลือกว่าจะรับเงินแบบใด ตัวเลือกใดต่อไปนี้ดีที่สุดในการบริหารกระแสเงินสด</t>
  </si>
  <si>
    <t xml:space="preserve">ดอกเบี้ยทบต้น 2 ปี</t>
  </si>
  <si>
    <t xml:space="preserve">อัตนัย (ตัวเลข)</t>
  </si>
  <si>
    <t xml:space="preserve">121</t>
  </si>
  <si>
    <t xml:space="preserve">121 บาท</t>
  </si>
  <si>
    <t xml:space="preserve">3. เด็กชายออมสินนำเงินไปฝากธนาคาร ฿100 โดยเขาจะได้รับดอกเบี้ยในอัตรา 10% ต่อปี ถ้าออมสินไม่ถอนเงินเลยเป็นเวลา 2 ปี เขาจะมีเงินในธนาคารกี่บาท</t>
  </si>
  <si>
    <t xml:space="preserve">อคติผู้บริโภค</t>
  </si>
  <si>
    <t xml:space="preserve">3</t>
  </si>
  <si>
    <t xml:space="preserve">SIMILARITY BIAS</t>
  </si>
  <si>
    <t xml:space="preserve">4. ปั้นเคยได้กำไรจากซื้อหุ้นธนาคารมาตลอด จึงซื้อแต่หุ้นธนาคารนั้นอย่างเดียว โดยไม่สนใจศึกษาหุ้นตัวอื่น ๆ เลย จากเหตุการณ์นี้ปั้นมีอคติของผู้บริโภคแบบไหน</t>
  </si>
  <si>
    <t xml:space="preserve">ค่าใช้จ่ายจำเป็นน้อยสุด</t>
  </si>
  <si>
    <t xml:space="preserve">4</t>
  </si>
  <si>
    <t xml:space="preserve">นาฬิกาข้อมือ</t>
  </si>
  <si>
    <t xml:space="preserve">5. ค่าใช้จ่ายในข้อใดต่อไปนี้จำเป็นน้อยที่สุดสำหรับเด็กในวัยเรียน</t>
  </si>
  <si>
    <t xml:space="preserve">ลดรายจ่ายเพื่อเป้าหมาย</t>
  </si>
  <si>
    <t xml:space="preserve">น้ำอัดลม → น้ำเปล่า เพื่อซ่อมมือถือ</t>
  </si>
  <si>
    <t xml:space="preserve">6. หากเราต้องการลดรายจ่ายลง เพื่อเก็บเงินให้ถึงเป้าหมาย ข้อใดต่อไปนี้ถูกต้องที่สุด</t>
  </si>
  <si>
    <t xml:space="preserve">ข้อผิดในการเลือกซื้อ</t>
  </si>
  <si>
    <t xml:space="preserve">ซื้อของถูกผิดปกติทันที</t>
  </si>
  <si>
    <t xml:space="preserve">7. ข้อใดต่อไปนี้ผิดในเรื่องการเลือกซื้อสินค้า</t>
  </si>
  <si>
    <t xml:space="preserve">ความคุ้มค่าต่อหน่วย</t>
  </si>
  <si>
    <t xml:space="preserve">กล่องเล็ก 2 กล่อง (8 บาท)</t>
  </si>
  <si>
    <t xml:space="preserve">8. ต้องการซื้อคุกกี้ให้ได้ 8 ชิ้น แบบไหนคุ้มค่าที่สุด</t>
  </si>
  <si>
    <t xml:space="preserve">หลักการเลือกซื้อ</t>
  </si>
  <si>
    <t xml:space="preserve">คุณภาพที่จำเป็น ราคาเหมาะสม</t>
  </si>
  <si>
    <t xml:space="preserve">ข้อใดต่อไปนี้ถูกต้องที่สุด</t>
  </si>
  <si>
    <t xml:space="preserve">ออมเงินต่อสัปดาห์</t>
  </si>
  <si>
    <t xml:space="preserve">30</t>
  </si>
  <si>
    <t xml:space="preserve">30 บาท/สัปดาห์</t>
  </si>
  <si>
    <t xml:space="preserve">10. ออมสินอยากประหยัดค่าใช้จ่าย เพื่อซื้อรองเท้าผ้าใบราคา ฿300 ในอีก 10 สัปดาห์ข้างหน้า ออมสินจะต้องออมเงินกี่บาทต่อสัปดาห์</t>
  </si>
  <si>
    <t xml:space="preserve">ส่วนต่างที่ต้องเพิ่ม</t>
  </si>
  <si>
    <t xml:space="preserve">10</t>
  </si>
  <si>
    <t xml:space="preserve">10 บาท/สัปดาห์</t>
  </si>
  <si>
    <t xml:space="preserve">11. จากข้อ 10. ในเดือนที่ผ่านมาออมสินมีเงินคงเหลือต่อสัปดาห์อยู่ที่ ฿20 ซึ่งยังไม่พอกับการออมเงินซื้อรองเท้า ออมสินต้องเพิ่มรายรับหรือลดรายจ่ายอีกกี่บาทต่อสัปดาห์</t>
  </si>
  <si>
    <t xml:space="preserve">เงินไม่พอเป้าหมาย</t>
  </si>
  <si>
    <t xml:space="preserve">ตัดรายจ่ายที่ไม่จำเป็นออกก่อน</t>
  </si>
  <si>
    <t xml:space="preserve">12. ถ้าเงินคงเหลือไม่พอกับเป้าหมายการออมที่ตั้งไว้ ข้อใดคือสิ่งที่ควรทำเป็นอันดับแรก</t>
  </si>
  <si>
    <t xml:space="preserve">เงินต้นคงเหลือ</t>
  </si>
  <si>
    <t xml:space="preserve">800</t>
  </si>
  <si>
    <t xml:space="preserve">800 บาท</t>
  </si>
  <si>
    <t xml:space="preserve">13. นายประหยัดต้องการผ่อนซื้อของราคา ฿1,000 ถ้าเขาต้องจ่ายค่างวดเดือนละ ฿150 โดยแต่ละงวดมีดอกเบี้ยคงที่เดือนละ ฿50 ถ้าเขาผ่อนไปแล้ว 2 เดือน เงินต้นจะลดลงเหลือกี่บาท</t>
  </si>
  <si>
    <t xml:space="preserve">ไม่ใช่สินทรัพย์</t>
  </si>
  <si>
    <t xml:space="preserve">14. ข้อใดต่อไปนี้ไม่ใช่สินทรัพย์</t>
  </si>
  <si>
    <t xml:space="preserve">ตัวชี้วัดฐานะการเงิน</t>
  </si>
  <si>
    <t xml:space="preserve">ความมั่งคั่งสุทธิ</t>
  </si>
  <si>
    <t xml:space="preserve">15. ข้อใดต่อไปนี้เป็นตัวชี้วัดฐานะทางการเงินที่ดีที่สุด</t>
  </si>
  <si>
    <t xml:space="preserve">หนี้สินที่ดี</t>
  </si>
  <si>
    <t xml:space="preserve">กู้เพื่อการศึกษาแล้วจ่ายคืนได้</t>
  </si>
  <si>
    <t xml:space="preserve">16. ข้อใดต่อไปนี้เป็นหนี้สินที่ดี</t>
  </si>
  <si>
    <t xml:space="preserve">หลักการเงิน 4 ด้าน</t>
  </si>
  <si>
    <t xml:space="preserve">E ลูกจ้าง และ I นักลงทุน</t>
  </si>
  <si>
    <t xml:space="preserve">17. ข้าราชการที่ลงทุนในตราสารหนี้ ได้รับรายได้แบบไหนบ้าง ในหลักการเงิน 4 ด้าน</t>
  </si>
  <si>
    <t xml:space="preserve">ปัจจัยพื้นฐานธุรกิจ</t>
  </si>
  <si>
    <t xml:space="preserve">ถูกทุกข้อ</t>
  </si>
  <si>
    <t xml:space="preserve">18. ข้อใดต่อไปนี้เป็นปัจจัยพื้นฐานในการทำธุรกิจ</t>
  </si>
  <si>
    <t xml:space="preserve">จุดคุ้มทุน (จาน)</t>
  </si>
  <si>
    <t xml:space="preserve">10 จาน</t>
  </si>
  <si>
    <t xml:space="preserve">19. เจตเปิดร้านขายข้าวผัด ราคาจานละ 50 บาท แต่ละจานมีต้นทุนเฉลี่ย 30 บาท ถ้าเจตจ่ายค่าสร้างและตกแต่งร้านไป 200 บาท เขาจะต้องขายกี่จานถึงจะคุ้มทุน</t>
  </si>
  <si>
    <t xml:space="preserve">ระยะเวลาคืนทุน (วัน)</t>
  </si>
  <si>
    <t xml:space="preserve">2 วัน</t>
  </si>
  <si>
    <t xml:space="preserve">20. จากข้อ 19. หากร้านของเจตขายได้ 5 จานต่อวัน เจตจะต้องใช้เวลากี่วันถึงจะคืนทุน</t>
  </si>
  <si>
    <t xml:space="preserve">นิยามการลงทุน</t>
  </si>
  <si>
    <t xml:space="preserve">ซื้อสินทรัพย์โดยหวังผลตอบแทน</t>
  </si>
  <si>
    <t xml:space="preserve">21. การลงทุนคืออะไร</t>
  </si>
  <si>
    <t xml:space="preserve">นิยามความเสี่ยง</t>
  </si>
  <si>
    <t xml:space="preserve">ความไม่แน่นอนของผลตอบแทน</t>
  </si>
  <si>
    <t xml:space="preserve">22. ความเสี่ยงคืออะไร</t>
  </si>
  <si>
    <t xml:space="preserve">พฤติกรรมลงทุนที่ดี</t>
  </si>
  <si>
    <t xml:space="preserve">ศึกษาข้อมูล + กระจายความเสี่ยง</t>
  </si>
  <si>
    <t xml:space="preserve">23. ข้อใดเป็นพฤติกรรมที่ดีในการลงทุน</t>
  </si>
  <si>
    <t xml:space="preserve">กองทุนรวม</t>
  </si>
  <si>
    <t xml:space="preserve">รวมเงินให้ผู้จัดการกองทุนลงทุน</t>
  </si>
  <si>
    <t xml:space="preserve">24. ข้อใดอธิบาย "กองทุนรวม (Mutual Fund)" ได้ถูกต้องที่สุด</t>
  </si>
  <si>
    <t xml:space="preserve">สินทรัพย์เสี่ยงสูงสุด</t>
  </si>
  <si>
    <t xml:space="preserve">เปิดธุรกิจของตัวเอง</t>
  </si>
  <si>
    <t xml:space="preserve">25. การลงทุนในสินทรัพย์ต่อไปนี้ ประเภทใดมีความเสี่ยงสูงที่สุด</t>
  </si>
  <si>
    <t xml:space="preserve">คะแนนรายบุคคล — Pre Test</t>
  </si>
  <si>
    <t xml:space="preserve">1 = ตอบถูก, 0 = ตอบผิด/ไม่ตอบ | คะแนนเต็ม 25</t>
  </si>
  <si>
    <t xml:space="preserve">#</t>
  </si>
  <si>
    <t xml:space="preserve">ชื่อ-นามสกุล</t>
  </si>
  <si>
    <t xml:space="preserve">ชื่อเล่น</t>
  </si>
  <si>
    <t xml:space="preserve">ห้อง</t>
  </si>
  <si>
    <t xml:space="preserve">วันที่ทำ</t>
  </si>
  <si>
    <t xml:space="preserve">Q1</t>
  </si>
  <si>
    <t xml:space="preserve">Q2</t>
  </si>
  <si>
    <t xml:space="preserve">Q3</t>
  </si>
  <si>
    <t xml:space="preserve">Q4</t>
  </si>
  <si>
    <t xml:space="preserve">Q5</t>
  </si>
  <si>
    <t xml:space="preserve">Q6</t>
  </si>
  <si>
    <t xml:space="preserve">Q7</t>
  </si>
  <si>
    <t xml:space="preserve">Q8</t>
  </si>
  <si>
    <t xml:space="preserve">Q9</t>
  </si>
  <si>
    <t xml:space="preserve">Q10</t>
  </si>
  <si>
    <t xml:space="preserve">Q11</t>
  </si>
  <si>
    <t xml:space="preserve">Q12</t>
  </si>
  <si>
    <t xml:space="preserve">Q13</t>
  </si>
  <si>
    <t xml:space="preserve">Q14</t>
  </si>
  <si>
    <t xml:space="preserve">Q15</t>
  </si>
  <si>
    <t xml:space="preserve">Q16</t>
  </si>
  <si>
    <t xml:space="preserve">Q17</t>
  </si>
  <si>
    <t xml:space="preserve">Q18</t>
  </si>
  <si>
    <t xml:space="preserve">Q19</t>
  </si>
  <si>
    <t xml:space="preserve">Q20</t>
  </si>
  <si>
    <t xml:space="preserve">Q21</t>
  </si>
  <si>
    <t xml:space="preserve">Q22</t>
  </si>
  <si>
    <t xml:space="preserve">Q23</t>
  </si>
  <si>
    <t xml:space="preserve">Q24</t>
  </si>
  <si>
    <t xml:space="preserve">Q25</t>
  </si>
  <si>
    <t xml:space="preserve">คะแนนรวม</t>
  </si>
  <si>
    <t xml:space="preserve">ร้อยละ</t>
  </si>
  <si>
    <t xml:space="preserve">ระดับ</t>
  </si>
  <si>
    <t xml:space="preserve">รีมา เชรฐตรี</t>
  </si>
  <si>
    <t xml:space="preserve">รีมา</t>
  </si>
  <si>
    <t xml:space="preserve">ม.4/7</t>
  </si>
  <si>
    <t xml:space="preserve">ดีมาก (80%+)</t>
  </si>
  <si>
    <t xml:space="preserve">นางสาวภัทรจารีย์  คงเยือกเย็น</t>
  </si>
  <si>
    <t xml:space="preserve">ไอซ์</t>
  </si>
  <si>
    <t xml:space="preserve">ม.4/8</t>
  </si>
  <si>
    <t xml:space="preserve">นส.มนฑิรา คะครรัมย์</t>
  </si>
  <si>
    <t xml:space="preserve">23.0</t>
  </si>
  <si>
    <t xml:space="preserve">นายสรายุทธ โยธา</t>
  </si>
  <si>
    <t xml:space="preserve">ยุทธ</t>
  </si>
  <si>
    <t xml:space="preserve">ภาณุวัฒน์ ตั้งยศพัฒน์</t>
  </si>
  <si>
    <t xml:space="preserve">เตอร์</t>
  </si>
  <si>
    <t xml:space="preserve">นาย ศรัณย์ เสาใสศรี</t>
  </si>
  <si>
    <t xml:space="preserve">กันต์</t>
  </si>
  <si>
    <t xml:space="preserve">ดี (60-79%)</t>
  </si>
  <si>
    <t xml:space="preserve">สุปรีดา เนืองนุช</t>
  </si>
  <si>
    <t xml:space="preserve">คิว</t>
  </si>
  <si>
    <t xml:space="preserve">นส ภัคจิรา ปรางงาม</t>
  </si>
  <si>
    <t xml:space="preserve">น้ำ</t>
  </si>
  <si>
    <t xml:space="preserve">ณัฐณิชา ศรีเสริม</t>
  </si>
  <si>
    <t xml:space="preserve">เนย</t>
  </si>
  <si>
    <t xml:space="preserve">พิทยุตม์ สุนทรสุข</t>
  </si>
  <si>
    <t xml:space="preserve">ม่อน</t>
  </si>
  <si>
    <t xml:space="preserve">วรวุฒิ หมื่นรัตน์</t>
  </si>
  <si>
    <t xml:space="preserve">เก้า</t>
  </si>
  <si>
    <t xml:space="preserve">นางสาวบัณฑิตา คงใจ</t>
  </si>
  <si>
    <t xml:space="preserve">ข้าวฟ่าง</t>
  </si>
  <si>
    <t xml:space="preserve">อาทิตย์ บูรณะไพบูลย์</t>
  </si>
  <si>
    <t xml:space="preserve">เบส</t>
  </si>
  <si>
    <t xml:space="preserve">นนทกรณ์ รุ่งทัพพ่วง</t>
  </si>
  <si>
    <t xml:space="preserve">กร(น้องนนนี่)🫶🏻</t>
  </si>
  <si>
    <t xml:space="preserve">พอใช้ (40-59%)</t>
  </si>
  <si>
    <t xml:space="preserve">น.ส.สุวิมล สิทธิพรหม</t>
  </si>
  <si>
    <t xml:space="preserve">กระต่าย</t>
  </si>
  <si>
    <t xml:space="preserve">นาย ปิยะวัชร์ พันธ์ทอง</t>
  </si>
  <si>
    <t xml:space="preserve">ตัง</t>
  </si>
  <si>
    <t xml:space="preserve">น.ส.ปิยะฉัตร อัครคชาเสนีย์</t>
  </si>
  <si>
    <t xml:space="preserve">เฟรม</t>
  </si>
  <si>
    <t xml:space="preserve">เทพนิมิตร ภู่ระหงษ์</t>
  </si>
  <si>
    <t xml:space="preserve">ต้นกล้า</t>
  </si>
  <si>
    <t xml:space="preserve">ธารารินทร์ พลนำ</t>
  </si>
  <si>
    <t xml:space="preserve">นํ้า</t>
  </si>
  <si>
    <t xml:space="preserve">ณิชชา นาสมใจ</t>
  </si>
  <si>
    <t xml:space="preserve">เกศกนก ลอยนรินทร์</t>
  </si>
  <si>
    <t xml:space="preserve">จามิว</t>
  </si>
  <si>
    <t xml:space="preserve">สิทธิชัย บุญนนท์</t>
  </si>
  <si>
    <t xml:space="preserve">โด้</t>
  </si>
  <si>
    <t xml:space="preserve">ต้องปรับปรุง (&lt;40%)</t>
  </si>
  <si>
    <t xml:space="preserve">จิรายุ บุดตะคุ</t>
  </si>
  <si>
    <t xml:space="preserve">พีพี</t>
  </si>
  <si>
    <t xml:space="preserve">กิตติยา ใจเย็น</t>
  </si>
  <si>
    <t xml:space="preserve">เเป้ง</t>
  </si>
  <si>
    <t xml:space="preserve">นราวิชญ์ ลำภูพวง</t>
  </si>
  <si>
    <t xml:space="preserve">แมนยู</t>
  </si>
  <si>
    <t xml:space="preserve">ปุณยวีร์  ศรีแก้วอินทร์</t>
  </si>
  <si>
    <t xml:space="preserve">เม</t>
  </si>
  <si>
    <t xml:space="preserve">น.สศวรรยา แน๊ะหมัด</t>
  </si>
  <si>
    <t xml:space="preserve">ฟ้า</t>
  </si>
  <si>
    <t xml:space="preserve">ศุภวิชญ์ มูลฑา</t>
  </si>
  <si>
    <t xml:space="preserve">ค่าเฉลี่ย</t>
  </si>
  <si>
    <t xml:space="preserve">สูงสุด</t>
  </si>
  <si>
    <t xml:space="preserve">ต่ำสุด</t>
  </si>
  <si>
    <t xml:space="preserve">จำนวนผู้ทำแบบทดสอบ</t>
  </si>
  <si>
    <t xml:space="preserve">คะแนนรายบุคคล — Post Test</t>
  </si>
  <si>
    <t xml:space="preserve">ศุภชัย ละม่อม</t>
  </si>
  <si>
    <t xml:space="preserve">บอย</t>
  </si>
  <si>
    <t xml:space="preserve">ปองคุณ ช้างสุวรรณ</t>
  </si>
  <si>
    <t xml:space="preserve">ฟีโน่</t>
  </si>
  <si>
    <t xml:space="preserve">อดิศร สุมัน</t>
  </si>
  <si>
    <t xml:space="preserve">ฟิว</t>
  </si>
  <si>
    <t xml:space="preserve">ณฐกร หริณนิติสุข</t>
  </si>
  <si>
    <t xml:space="preserve">อังเดร</t>
  </si>
  <si>
    <t xml:space="preserve">นางสาว มนัญญา พาจะโปะ</t>
  </si>
  <si>
    <t xml:space="preserve">พลอย</t>
  </si>
  <si>
    <t xml:space="preserve">ศรัญญา ผิวงาม</t>
  </si>
  <si>
    <t xml:space="preserve">ออนิว</t>
  </si>
  <si>
    <t xml:space="preserve">วรภพ ส่งอิ่ม</t>
  </si>
  <si>
    <t xml:space="preserve">กัส</t>
  </si>
  <si>
    <t xml:space="preserve">อักษรินทร์ ธีรภวดีธนชุกิจ</t>
  </si>
  <si>
    <t xml:space="preserve">เเชมป์</t>
  </si>
  <si>
    <t xml:space="preserve">ธนาภัทร์ รอดเลิศไร่</t>
  </si>
  <si>
    <t xml:space="preserve">แมทธิว</t>
  </si>
  <si>
    <t xml:space="preserve">นายวีรภัทร​ ชาตริตานนท์</t>
  </si>
  <si>
    <t xml:space="preserve">ติม</t>
  </si>
  <si>
    <t xml:space="preserve">นส นพวรรณ เอี่ยมมา</t>
  </si>
  <si>
    <t xml:space="preserve">แพรวา</t>
  </si>
  <si>
    <t xml:space="preserve">แก้ม</t>
  </si>
  <si>
    <t xml:space="preserve">รีมา เขรฐตรี</t>
  </si>
  <si>
    <t xml:space="preserve">ศวรรยา แน๊ะหมัด</t>
  </si>
  <si>
    <t xml:space="preserve">นาย วัณณุวรรธน์ เจริญอุดมผล</t>
  </si>
  <si>
    <t xml:space="preserve">อภิญญา พันกาฬสินธุ์</t>
  </si>
  <si>
    <t xml:space="preserve">เดือน</t>
  </si>
  <si>
    <t xml:space="preserve">สรานีย์ พวงแก้ว</t>
  </si>
  <si>
    <t xml:space="preserve">กอลั่ม</t>
  </si>
  <si>
    <t xml:space="preserve">อุษามณี ฉุนกล้า</t>
  </si>
  <si>
    <t xml:space="preserve">เหมย</t>
  </si>
  <si>
    <t xml:space="preserve">ศรัณย์ เสาใสศรี</t>
  </si>
  <si>
    <t xml:space="preserve">กร</t>
  </si>
  <si>
    <t xml:space="preserve">วรวิทย์ วงศ์กาฬสินธุ</t>
  </si>
  <si>
    <t xml:space="preserve">เอกรินทร์ ศรีเหล็กเพ็ชร์</t>
  </si>
  <si>
    <t xml:space="preserve">เคน</t>
  </si>
  <si>
    <t xml:space="preserve">นาย ธนวิญท์ จันทนา</t>
  </si>
  <si>
    <t xml:space="preserve">เจฟ</t>
  </si>
  <si>
    <t xml:space="preserve">นาย อรรถพันธ์ คณะวาปี</t>
  </si>
  <si>
    <t xml:space="preserve">อาลีฟ,สปาย</t>
  </si>
  <si>
    <t xml:space="preserve">เอกวิญญ์ ธีรภวดีธนชูกิจ</t>
  </si>
  <si>
    <t xml:space="preserve">ชิน</t>
  </si>
  <si>
    <t xml:space="preserve">บัณฑิตา ปุราชะคึง</t>
  </si>
  <si>
    <t xml:space="preserve">อีฟ</t>
  </si>
  <si>
    <t xml:space="preserve">ณัฐกรณ์ หีบแก้ว</t>
  </si>
  <si>
    <t xml:space="preserve">ปิ๊ก</t>
  </si>
  <si>
    <t xml:space="preserve">ณัฐดนัย  บุญนก</t>
  </si>
  <si>
    <t xml:space="preserve">เฟิส</t>
  </si>
  <si>
    <t xml:space="preserve">เปรียบเทียบ Pre Test vs Post Test (รายบุคคล)</t>
  </si>
  <si>
    <t xml:space="preserve">เฉพาะผู้ที่ทำครบทั้ง 2 ครั้ง = 22 คน | Normalized Gain = (Post-Pre)/(25-Pre)</t>
  </si>
  <si>
    <t xml:space="preserve">Pre (25)</t>
  </si>
  <si>
    <t xml:space="preserve">Post (25)</t>
  </si>
  <si>
    <t xml:space="preserve">% เปลี่ยนแปลง</t>
  </si>
  <si>
    <t xml:space="preserve">Normalized Gain</t>
  </si>
  <si>
    <t xml:space="preserve">ผลลัพธ์</t>
  </si>
  <si>
    <t xml:space="preserve">ค่าเฉลี่ย Pre</t>
  </si>
  <si>
    <t xml:space="preserve">ค่าเฉลี่ย Post</t>
  </si>
  <si>
    <t xml:space="preserve">ผลต่างเฉลี่ย</t>
  </si>
  <si>
    <t xml:space="preserve">อัตราการเพิ่มขึ้นเฉลี่ย (%)</t>
  </si>
  <si>
    <t xml:space="preserve">จำนวนที่คะแนนเพิ่มขึ้น</t>
  </si>
  <si>
    <t xml:space="preserve">จำนวนที่คะแนนเท่าเดิม</t>
  </si>
  <si>
    <t xml:space="preserve">จำนวนที่คะแนนลดลง</t>
  </si>
  <si>
    <t xml:space="preserve">วิเคราะห์รายข้อ (Item Analysis)</t>
  </si>
  <si>
    <t xml:space="preserve">% ผู้ตอบถูกในแต่ละข้อ — ข้อที่ % ต่ำคือหัวข้อที่ควรเน้นสอนซ้ำ</t>
  </si>
  <si>
    <t xml:space="preserve">ผลต่าง (จุด %)</t>
  </si>
  <si>
    <t xml:space="preserve">สถานะ</t>
  </si>
  <si>
    <t xml:space="preserve">วิเคราะห์รายหมวดความรู้ (Topic Analysis)</t>
  </si>
  <si>
    <t xml:space="preserve">ค่าเฉลี่ย % ตอบถูกของข้อในแต่ละหมวด</t>
  </si>
  <si>
    <t xml:space="preserve">หมวดความรู้</t>
  </si>
  <si>
    <t xml:space="preserve">จำนวนข้อ</t>
  </si>
  <si>
    <t xml:space="preserve">ข้อที่</t>
  </si>
  <si>
    <t xml:space="preserve">อัตราเพิ่ม (%)</t>
  </si>
  <si>
    <t xml:space="preserve">1, 2, 3</t>
  </si>
  <si>
    <t xml:space="preserve">4, 5, 6, 7, 8, 9</t>
  </si>
  <si>
    <t xml:space="preserve">10, 11, 12</t>
  </si>
  <si>
    <t xml:space="preserve">13, 14, 15, 16</t>
  </si>
  <si>
    <t xml:space="preserve">17, 18, 19, 20</t>
  </si>
  <si>
    <t xml:space="preserve">21, 22, 23, 24, 25</t>
  </si>
  <si>
    <t xml:space="preserve">เปรียบเทียบตามห้องเรียน</t>
  </si>
  <si>
    <t xml:space="preserve">ใช้เฉพาะผู้ที่ทำครบทั้ง 2 ครั้ง สำหรับคอลัมน์ผลต่าง</t>
  </si>
  <si>
    <t xml:space="preserve">จำนวน Pre</t>
  </si>
  <si>
    <t xml:space="preserve">เฉลี่ย Pre</t>
  </si>
  <si>
    <t xml:space="preserve">จำนวน Post</t>
  </si>
  <si>
    <t xml:space="preserve">เฉลี่ย Post</t>
  </si>
  <si>
    <t xml:space="preserve">จำนวนจับคู่ได้</t>
  </si>
  <si>
    <t xml:space="preserve">เฉลี่ยผลต่าง</t>
  </si>
  <si>
    <t xml:space="preserve">เฉลี่ย Pre (เฉพาะจับคู่)</t>
  </si>
  <si>
    <t xml:space="preserve">การกระจายคะแนน (Score Distribution)</t>
  </si>
  <si>
    <t xml:space="preserve">ใช้ทำกราฟแท่ง/ฮิสโตแกรม เปรียบเทียบ Pre vs Post</t>
  </si>
  <si>
    <t xml:space="preserve">ช่วงคะแนน</t>
  </si>
  <si>
    <t xml:space="preserve">จำนวนคน Pre</t>
  </si>
  <si>
    <t xml:space="preserve">จำนวนคน Post</t>
  </si>
  <si>
    <t xml:space="preserve">% Pre</t>
  </si>
  <si>
    <t xml:space="preserve">% Post</t>
  </si>
  <si>
    <t xml:space="preserve">0-4</t>
  </si>
  <si>
    <t xml:space="preserve">ต้องปรับปรุงมาก</t>
  </si>
  <si>
    <t xml:space="preserve">5-9</t>
  </si>
  <si>
    <t xml:space="preserve">ต้องปรับปรุง</t>
  </si>
  <si>
    <t xml:space="preserve">10-14</t>
  </si>
  <si>
    <t xml:space="preserve">พอใช้</t>
  </si>
  <si>
    <t xml:space="preserve">15-19</t>
  </si>
  <si>
    <t xml:space="preserve">ดี</t>
  </si>
  <si>
    <t xml:space="preserve">20-25</t>
  </si>
  <si>
    <t xml:space="preserve">ดีมาก</t>
  </si>
  <si>
    <t xml:space="preserve">รวม</t>
  </si>
  <si>
    <t xml:space="preserve">พฤติกรรมการเงิน (5 ข้อ) — เปรียบเทียบ Pre vs Post</t>
  </si>
  <si>
    <t xml:space="preserve">คำถามปลายเปิด/เลือกตอบ ไม่คิดคะแนน | นับความถี่ของคำตอบ</t>
  </si>
  <si>
    <t xml:space="preserve">1. การบันทึกรายรับ-รายจ่าย</t>
  </si>
  <si>
    <t xml:space="preserve">คำตอบ</t>
  </si>
  <si>
    <t xml:space="preserve">3) ทำบ้างไม่ทำบ้าง</t>
  </si>
  <si>
    <t xml:space="preserve">2) เคยทำแต่ไม่ได้ทำแล้ว</t>
  </si>
  <si>
    <t xml:space="preserve">4) ทำอยู่สม่ำเสมอ</t>
  </si>
  <si>
    <t xml:space="preserve">1) ไม่ได้ทำเลย</t>
  </si>
  <si>
    <t xml:space="preserve">รวมผู้ตอบ</t>
  </si>
  <si>
    <t xml:space="preserve">2. การวางเป้าหมายทางการเงิน</t>
  </si>
  <si>
    <t xml:space="preserve">4) เคยทำสำเร็จแล้ว</t>
  </si>
  <si>
    <t xml:space="preserve">3) เคยทำแต่ไม่สำเร็จ</t>
  </si>
  <si>
    <t xml:space="preserve">2) ไม่เคยทำ</t>
  </si>
  <si>
    <t xml:space="preserve">3. การหารายได้</t>
  </si>
  <si>
    <t xml:space="preserve">2) เคยคิดจะทำ</t>
  </si>
  <si>
    <t xml:space="preserve">3) เคยทำ</t>
  </si>
  <si>
    <t xml:space="preserve">1) ยังไม่ได้คิดจะทำ</t>
  </si>
  <si>
    <t xml:space="preserve">4. เคยเป็นเจ้าหนี้หรือให้คนอื่นยืมเงินมั้ย?</t>
  </si>
  <si>
    <t xml:space="preserve">2) เคยให้ ได้คืนบ้างไม่ได้บ้าง</t>
  </si>
  <si>
    <t xml:space="preserve">3) เคย แต่ได้คืนตลอด</t>
  </si>
  <si>
    <t xml:space="preserve">4) ไม่เคยเลย</t>
  </si>
  <si>
    <t xml:space="preserve">1) เคย ไม่เคยได้คืนเลย</t>
  </si>
  <si>
    <t xml:space="preserve">5. เคยยืมเงินคนอื่นมั้ย?</t>
  </si>
  <si>
    <t xml:space="preserve">3) เคย แต่คืนตรงเวลา</t>
  </si>
  <si>
    <t xml:space="preserve">2) เคย แต่คืนช้าบ้าง</t>
  </si>
  <si>
    <t xml:space="preserve">1) เคย และไม่ได้คืน</t>
  </si>
  <si>
    <t xml:space="preserve">หมายเหตุ / วิธีคำนวณ / ข้อสมมติ</t>
  </si>
  <si>
    <t xml:space="preserve">แหล่งข้อมูล: ไฟล์คำตอบ Google Form 'Pre Test รุ่นพี่การเงิน' และ 'Post Test รุ่นพี่การเงิน' (ผู้ใช้อัปโหลด)</t>
  </si>
  <si>
    <t xml:space="preserve">1) เฉลย: Google Form ไม่ได้ตั้งเป็นโหมด Quiz จึงไม่มี answer key ในไฟล์ ผู้จัดทำวิเคราะห์เฉลยจากตัวโจทย์เอง — ดูชีต '02_เฉลย' และแก้ไขได้</t>
  </si>
  <si>
    <t xml:space="preserve">2) การให้คะแนน: ข้อละ 1 คะแนน เต็ม 25 คะแนน (เฉพาะส่วนความรู้ทางการเงิน ข้อ 1-25) ส่วนพฤติกรรมการเงิน 5 ข้อไม่คิดคะแนน</t>
  </si>
  <si>
    <t xml:space="preserve">3) ข้อปรนัย: ตรวจจากหมายเลขตัวเลือกที่นำหน้าคำตอบ เช่น '2) วงเงินบัตรเครดิต' = ตัวเลือกที่ 2</t>
  </si>
  <si>
    <t xml:space="preserve">4) ข้ออัตนัย (ข้อ 3, 10, 11, 13, 19, 20): ดึงตัวเลขทั้งหมดจากข้อความคำตอบ ถือว่าถูกถ้ามีตัวเลขคำตอบที่ถูกต้องปรากฏอยู่</t>
  </si>
  <si>
    <t xml:space="preserve">   - ข้อ 3 ยึดดอกเบี้ยทบต้น = 121 บาท (หากต้องการนับ 120 แบบดอกเบี้ยคงที่ว่าถูกด้วย แจ้งให้ปรับได้)</t>
  </si>
  <si>
    <t xml:space="preserve">5) คำตอบว่าง / '-' / 'ไม่รู้' / 'ไม่ทราบ' นับเป็น 0 คะแนน</t>
  </si>
  <si>
    <t xml:space="preserve">6) ตัดแถวทดสอบระบบ (ชื่อ 'Test') ออกทั้ง Pre และ Post</t>
  </si>
  <si>
    <t xml:space="preserve">7) Pre Test มีผู้ส่งซ้ำ 1 คน (ภัทรจารีย์ คงเยือกเย็น ส่ง 2 ครั้ง) — ใช้การส่งครั้งแรก</t>
  </si>
  <si>
    <t xml:space="preserve">8) การจับคู่ Pre-Post: จับคู่ด้วยชื่อ-นามสกุลหลังตัดคำนำหน้า/ช่องว่าง และใช้ fuzzy matching สำหรับชื่อที่สะกดต่างเล็กน้อย (เช่น รีมา เชรฐตรี / รีมา เขรฐตรี)</t>
  </si>
  <si>
    <t xml:space="preserve">9) ห้องเรียน: ปรับรูปแบบให้เป็นมาตรฐาน 'ม.4/7' และ 'ม.4/8' จากข้อความที่กรอกหลากหลายรูปแบบ</t>
  </si>
  <si>
    <t xml:space="preserve">10) Normalized Gain = (Post - Pre) / (คะแนนเต็ม - Pre) เป็นตัวชี้วัดการเรียนรู้ที่หักผลของเพดานคะแนนออก (ค่ามาตรฐาน: &lt;0.3 ต่ำ, 0.3-0.7 กลาง, &gt;0.7 สูง)</t>
  </si>
  <si>
    <t xml:space="preserve">11) 'อัตราการเพิ่ม/ลด' คำนวณจากผู้ที่ทำครบทั้ง 2 ครั้งเท่านั้น เพื่อให้เปรียบเทียบบนกลุ่มเดียวกัน (apples-to-apples)</t>
  </si>
  <si>
    <t xml:space="preserve">ไฟล์ประกอบ: results.json — ข้อมูลชุดเดียวกันในรูปแบบ JSON สำหรับนำไปทำกราฟบนเว็บไซต์</t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</si>
</sst>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0"/>
    <numFmt numFmtId="166" formatCode="0.00"/>
    <numFmt numFmtId="167" formatCode="0.0%"/>
    <numFmt numFmtId="168" formatCode="0.0"/>
    <numFmt numFmtId="169" formatCode="dd/mm/yyyy\ hh:mm"/>
    <numFmt numFmtId="170" formatCode="General"/>
    <numFmt numFmtId="171" formatCode="0%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3864"/>
      <name val="Arial"/>
      <family val="0"/>
      <charset val="1"/>
    </font>
    <font>
      <i val="true"/>
      <sz val="9"/>
      <color rgb="FF666666"/>
      <name val="Arial"/>
      <family val="0"/>
      <charset val="1"/>
    </font>
    <font>
      <b val="true"/>
      <sz val="12"/>
      <color rgb="FF1F3864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1"/>
      <color rgb="FF1F3864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E2EFDA"/>
        <bgColor rgb="FFF2F2F2"/>
      </patternFill>
    </fill>
    <fill>
      <patternFill patternType="solid">
        <fgColor rgb="FFFCE4E4"/>
        <bgColor rgb="FFF2F2F2"/>
      </patternFill>
    </fill>
    <fill>
      <patternFill patternType="solid">
        <fgColor rgb="FFF2F2F2"/>
        <bgColor rgb="FFE2EFDA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9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8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9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8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9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8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9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8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9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8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9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8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9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9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9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>
          <bgColor rgb="FFE2EFDA"/>
        </patternFill>
      </fill>
    </dxf>
    <dxf>
      <fill>
        <patternFill>
          <bgColor rgb="FFFCE4E4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2F2F2"/>
      <rgbColor rgb="FFCCFFFF"/>
      <rgbColor rgb="FF660066"/>
      <rgbColor rgb="FFFF8080"/>
      <rgbColor rgb="FF0066CC"/>
      <rgbColor rgb="FFD0D0D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CE4E4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6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42"/>
    <col collapsed="false" customWidth="true" hidden="false" outlineLevel="0" max="5" min="3" style="0" width="18"/>
    <col collapsed="false" customWidth="true" hidden="false" outlineLevel="0" max="6" min="6" style="0" width="40"/>
  </cols>
  <sheetData>
    <row r="1" customFormat="false" ht="17.1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B4" s="3" t="s">
        <v>2</v>
      </c>
    </row>
    <row r="5" customFormat="false" ht="30" hidden="false" customHeight="true" outlineLevel="0" collapsed="false">
      <c r="A5" s="4"/>
      <c r="B5" s="4" t="s">
        <v>3</v>
      </c>
      <c r="C5" s="4" t="s">
        <v>4</v>
      </c>
      <c r="D5" s="4" t="s">
        <v>5</v>
      </c>
      <c r="E5" s="4" t="s">
        <v>6</v>
      </c>
      <c r="F5" s="4"/>
    </row>
    <row r="6" customFormat="false" ht="15" hidden="false" customHeight="false" outlineLevel="0" collapsed="false">
      <c r="B6" s="5" t="s">
        <v>7</v>
      </c>
      <c r="C6" s="6" t="n">
        <f aca="false">COUNT(03_คะแนน_PreTest!AE5:AE32)</f>
        <v>28</v>
      </c>
      <c r="D6" s="6" t="n">
        <f aca="false">COUNT(04_คะแนน_PostTest!AE5:AE49)</f>
        <v>45</v>
      </c>
      <c r="E6" s="7" t="n">
        <f aca="false">D6-C6</f>
        <v>17</v>
      </c>
    </row>
    <row r="7" customFormat="false" ht="15" hidden="false" customHeight="false" outlineLevel="0" collapsed="false">
      <c r="B7" s="5" t="s">
        <v>8</v>
      </c>
      <c r="C7" s="8" t="n">
        <f aca="false">AVERAGE(03_คะแนน_PreTest!AE5:AE32)</f>
        <v>14.0357142857143</v>
      </c>
      <c r="D7" s="8" t="n">
        <f aca="false">AVERAGE(04_คะแนน_PostTest!AE5:AE49)</f>
        <v>18.2222222222222</v>
      </c>
      <c r="E7" s="9" t="n">
        <f aca="false">D7-C7</f>
        <v>4.18650793650794</v>
      </c>
    </row>
    <row r="8" customFormat="false" ht="15" hidden="false" customHeight="false" outlineLevel="0" collapsed="false">
      <c r="B8" s="5" t="s">
        <v>9</v>
      </c>
      <c r="C8" s="10" t="n">
        <f aca="false">AVERAGE(03_คะแนน_PreTest!AE5:AE32)/25</f>
        <v>0.561428571428572</v>
      </c>
      <c r="D8" s="10" t="n">
        <f aca="false">AVERAGE(04_คะแนน_PostTest!AE5:AE49)/25</f>
        <v>0.728888888888889</v>
      </c>
      <c r="E8" s="11" t="n">
        <f aca="false">D8-C8</f>
        <v>0.167460317460317</v>
      </c>
    </row>
    <row r="9" customFormat="false" ht="15" hidden="false" customHeight="false" outlineLevel="0" collapsed="false">
      <c r="B9" s="5" t="s">
        <v>10</v>
      </c>
      <c r="C9" s="12" t="n">
        <f aca="false">MEDIAN(03_คะแนน_PreTest!AE5:AE32)</f>
        <v>14</v>
      </c>
      <c r="D9" s="12" t="n">
        <f aca="false">MEDIAN(04_คะแนน_PostTest!AE5:AE49)</f>
        <v>19</v>
      </c>
      <c r="E9" s="13" t="n">
        <f aca="false">D9-C9</f>
        <v>5</v>
      </c>
    </row>
    <row r="10" customFormat="false" ht="15" hidden="false" customHeight="false" outlineLevel="0" collapsed="false">
      <c r="B10" s="5" t="s">
        <v>11</v>
      </c>
      <c r="C10" s="6" t="n">
        <f aca="false">MAX(03_คะแนน_PreTest!AE5:AE32)</f>
        <v>23</v>
      </c>
      <c r="D10" s="6" t="n">
        <f aca="false">MAX(04_คะแนน_PostTest!AE5:AE49)</f>
        <v>25</v>
      </c>
      <c r="E10" s="7" t="n">
        <f aca="false">D10-C10</f>
        <v>2</v>
      </c>
    </row>
    <row r="11" customFormat="false" ht="15" hidden="false" customHeight="false" outlineLevel="0" collapsed="false">
      <c r="B11" s="5" t="s">
        <v>12</v>
      </c>
      <c r="C11" s="6" t="n">
        <f aca="false">MIN(03_คะแนน_PreTest!AE5:AE32)</f>
        <v>4</v>
      </c>
      <c r="D11" s="6" t="n">
        <f aca="false">MIN(04_คะแนน_PostTest!AE5:AE49)</f>
        <v>4</v>
      </c>
      <c r="E11" s="7" t="n">
        <f aca="false">D11-C11</f>
        <v>0</v>
      </c>
    </row>
    <row r="12" customFormat="false" ht="15" hidden="false" customHeight="false" outlineLevel="0" collapsed="false">
      <c r="B12" s="5" t="s">
        <v>13</v>
      </c>
      <c r="C12" s="8" t="n">
        <f aca="false">STDEV(03_คะแนน_PreTest!AE5:AE32)</f>
        <v>5.40563589884664</v>
      </c>
      <c r="D12" s="8" t="n">
        <f aca="false">STDEV(04_คะแนน_PostTest!AE5:AE49)</f>
        <v>4.83307209325351</v>
      </c>
      <c r="E12" s="9" t="n">
        <f aca="false">D12-C12</f>
        <v>-0.572563805593125</v>
      </c>
    </row>
    <row r="15" customFormat="false" ht="15" hidden="false" customHeight="false" outlineLevel="0" collapsed="false">
      <c r="B15" s="3" t="s">
        <v>14</v>
      </c>
    </row>
    <row r="16" customFormat="false" ht="30" hidden="false" customHeight="true" outlineLevel="0" collapsed="false">
      <c r="A16" s="4"/>
      <c r="B16" s="4" t="s">
        <v>15</v>
      </c>
      <c r="C16" s="4" t="s">
        <v>16</v>
      </c>
      <c r="D16" s="4"/>
      <c r="E16" s="4"/>
      <c r="F16" s="4"/>
    </row>
    <row r="17" customFormat="false" ht="15" hidden="false" customHeight="false" outlineLevel="0" collapsed="false">
      <c r="B17" s="5" t="s">
        <v>17</v>
      </c>
      <c r="C17" s="7" t="n">
        <f aca="false">COUNT(05_เปรียบเทียบ_PrePost!E5:E26)</f>
        <v>22</v>
      </c>
    </row>
    <row r="18" customFormat="false" ht="15" hidden="false" customHeight="false" outlineLevel="0" collapsed="false">
      <c r="B18" s="5" t="s">
        <v>18</v>
      </c>
      <c r="C18" s="9" t="n">
        <f aca="false">AVERAGE(05_เปรียบเทียบ_PrePost!E5:E26)</f>
        <v>14.5454545454545</v>
      </c>
    </row>
    <row r="19" customFormat="false" ht="15" hidden="false" customHeight="false" outlineLevel="0" collapsed="false">
      <c r="B19" s="5" t="s">
        <v>19</v>
      </c>
      <c r="C19" s="9" t="n">
        <f aca="false">AVERAGE(05_เปรียบเทียบ_PrePost!F5:F26)</f>
        <v>18.1818181818182</v>
      </c>
    </row>
    <row r="20" customFormat="false" ht="15" hidden="false" customHeight="false" outlineLevel="0" collapsed="false">
      <c r="B20" s="5" t="s">
        <v>20</v>
      </c>
      <c r="C20" s="9" t="n">
        <f aca="false">AVERAGE(05_เปรียบเทียบ_PrePost!G5:G26)</f>
        <v>3.63636363636364</v>
      </c>
    </row>
    <row r="21" customFormat="false" ht="15" hidden="false" customHeight="false" outlineLevel="0" collapsed="false">
      <c r="B21" s="5" t="s">
        <v>21</v>
      </c>
      <c r="C21" s="11" t="n">
        <f aca="false">AVERAGE(05_เปรียบเทียบ_PrePost!G5:G26)/AVERAGE(05_เปรียบเทียบ_PrePost!E5:E26)</f>
        <v>0.25</v>
      </c>
    </row>
    <row r="22" customFormat="false" ht="15" hidden="false" customHeight="false" outlineLevel="0" collapsed="false">
      <c r="B22" s="5" t="s">
        <v>22</v>
      </c>
      <c r="C22" s="9" t="n">
        <f aca="false">AVERAGE(05_เปรียบเทียบ_PrePost!I5:I26)</f>
        <v>0.175019876064768</v>
      </c>
    </row>
    <row r="23" customFormat="false" ht="15" hidden="false" customHeight="false" outlineLevel="0" collapsed="false">
      <c r="B23" s="5" t="s">
        <v>23</v>
      </c>
      <c r="C23" s="7" t="n">
        <f aca="false">COUNTIF(05_เปรียบเทียบ_PrePost!G5:G26,"&gt;0")</f>
        <v>17</v>
      </c>
    </row>
    <row r="24" customFormat="false" ht="15" hidden="false" customHeight="false" outlineLevel="0" collapsed="false">
      <c r="B24" s="5" t="s">
        <v>24</v>
      </c>
      <c r="C24" s="7" t="n">
        <f aca="false">COUNTIF(05_เปรียบเทียบ_PrePost!G5:G26,"=0")</f>
        <v>0</v>
      </c>
    </row>
    <row r="25" customFormat="false" ht="15" hidden="false" customHeight="false" outlineLevel="0" collapsed="false">
      <c r="B25" s="5" t="s">
        <v>25</v>
      </c>
      <c r="C25" s="7" t="n">
        <f aca="false">COUNTIF(05_เปรียบเทียบ_PrePost!G5:G26,"&lt;0")</f>
        <v>5</v>
      </c>
    </row>
    <row r="26" customFormat="false" ht="15" hidden="false" customHeight="false" outlineLevel="0" collapsed="false">
      <c r="B26" s="5" t="s">
        <v>26</v>
      </c>
      <c r="C26" s="11" t="n">
        <f aca="false">COUNTIF(05_เปรียบเทียบ_PrePost!G5:G26,"&gt;0")/COUNT(05_เปรียบเทียบ_PrePost!G5:G26)</f>
        <v>0.772727272727273</v>
      </c>
    </row>
    <row r="29" customFormat="false" ht="15" hidden="false" customHeight="false" outlineLevel="0" collapsed="false">
      <c r="B29" s="3" t="s">
        <v>27</v>
      </c>
    </row>
    <row r="30" customFormat="false" ht="30" hidden="false" customHeight="true" outlineLevel="0" collapsed="false">
      <c r="A30" s="4"/>
      <c r="B30" s="4" t="s">
        <v>28</v>
      </c>
      <c r="C30" s="4" t="s">
        <v>29</v>
      </c>
      <c r="D30" s="4" t="s">
        <v>30</v>
      </c>
      <c r="E30" s="4" t="s">
        <v>6</v>
      </c>
      <c r="F30" s="4"/>
    </row>
    <row r="31" customFormat="false" ht="15" hidden="false" customHeight="false" outlineLevel="0" collapsed="false">
      <c r="B31" s="5" t="s">
        <v>31</v>
      </c>
      <c r="C31" s="10" t="n">
        <f aca="false">07_วิเคราะห์รายหมวด!D5</f>
        <v>0.392857142857143</v>
      </c>
      <c r="D31" s="10" t="n">
        <f aca="false">07_วิเคราะห์รายหมวด!E5</f>
        <v>0.607407407407407</v>
      </c>
      <c r="E31" s="11" t="n">
        <f aca="false">D31-C31</f>
        <v>0.214550264550264</v>
      </c>
    </row>
    <row r="32" customFormat="false" ht="15" hidden="false" customHeight="false" outlineLevel="0" collapsed="false">
      <c r="B32" s="5" t="s">
        <v>32</v>
      </c>
      <c r="C32" s="10" t="n">
        <f aca="false">07_วิเคราะห์รายหมวด!D6</f>
        <v>0.636904761904762</v>
      </c>
      <c r="D32" s="10" t="n">
        <f aca="false">07_วิเคราะห์รายหมวด!E6</f>
        <v>0.748148148148148</v>
      </c>
      <c r="E32" s="11" t="n">
        <f aca="false">D32-C32</f>
        <v>0.111243386243386</v>
      </c>
    </row>
    <row r="33" customFormat="false" ht="15" hidden="false" customHeight="false" outlineLevel="0" collapsed="false">
      <c r="B33" s="5" t="s">
        <v>33</v>
      </c>
      <c r="C33" s="10" t="n">
        <f aca="false">07_วิเคราะห์รายหมวด!D7</f>
        <v>0.619047619047619</v>
      </c>
      <c r="D33" s="10" t="n">
        <f aca="false">07_วิเคราะห์รายหมวด!E7</f>
        <v>0.8</v>
      </c>
      <c r="E33" s="11" t="n">
        <f aca="false">D33-C33</f>
        <v>0.180952380952381</v>
      </c>
    </row>
    <row r="34" customFormat="false" ht="15" hidden="false" customHeight="false" outlineLevel="0" collapsed="false">
      <c r="B34" s="5" t="s">
        <v>34</v>
      </c>
      <c r="C34" s="10" t="n">
        <f aca="false">07_วิเคราะห์รายหมวด!D8</f>
        <v>0.482142857142857</v>
      </c>
      <c r="D34" s="10" t="n">
        <f aca="false">07_วิเคราะห์รายหมวด!E8</f>
        <v>0.683333333333333</v>
      </c>
      <c r="E34" s="11" t="n">
        <f aca="false">D34-C34</f>
        <v>0.201190476190476</v>
      </c>
    </row>
    <row r="35" customFormat="false" ht="15" hidden="false" customHeight="false" outlineLevel="0" collapsed="false">
      <c r="B35" s="5" t="s">
        <v>35</v>
      </c>
      <c r="C35" s="10" t="n">
        <f aca="false">07_วิเคราะห์รายหมวด!D9</f>
        <v>0.446428571428571</v>
      </c>
      <c r="D35" s="10" t="n">
        <f aca="false">07_วิเคราะห์รายหมวด!E9</f>
        <v>0.694444444444445</v>
      </c>
      <c r="E35" s="11" t="n">
        <f aca="false">D35-C35</f>
        <v>0.248015873015873</v>
      </c>
    </row>
    <row r="36" customFormat="false" ht="15" hidden="false" customHeight="false" outlineLevel="0" collapsed="false">
      <c r="B36" s="5" t="s">
        <v>36</v>
      </c>
      <c r="C36" s="10" t="n">
        <f aca="false">07_วิเคราะห์รายหมวด!D10</f>
        <v>0.692857142857143</v>
      </c>
      <c r="D36" s="10" t="n">
        <f aca="false">07_วิเคราะห์รายหมวด!E10</f>
        <v>0.8</v>
      </c>
      <c r="E36" s="11" t="n">
        <f aca="false">D36-C36</f>
        <v>0.107142857142857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20"/>
    <col collapsed="false" customWidth="true" hidden="false" outlineLevel="0" max="3" min="3" style="0" width="26"/>
    <col collapsed="false" customWidth="true" hidden="false" outlineLevel="0" max="4" min="4" style="0" width="10"/>
    <col collapsed="false" customWidth="true" hidden="false" outlineLevel="0" max="5" min="5" style="0" width="12"/>
    <col collapsed="false" customWidth="true" hidden="false" outlineLevel="0" max="6" min="6" style="0" width="40"/>
    <col collapsed="false" customWidth="true" hidden="false" outlineLevel="0" max="7" min="7" style="0" width="70"/>
  </cols>
  <sheetData>
    <row r="1" customFormat="false" ht="17.15" hidden="false" customHeight="false" outlineLevel="0" collapsed="false">
      <c r="A1" s="1" t="s">
        <v>37</v>
      </c>
    </row>
    <row r="2" customFormat="false" ht="15" hidden="false" customHeight="false" outlineLevel="0" collapsed="false">
      <c r="A2" s="2" t="s">
        <v>38</v>
      </c>
    </row>
    <row r="4" customFormat="false" ht="30" hidden="false" customHeight="true" outlineLevel="0" collapsed="false">
      <c r="A4" s="4" t="s">
        <v>39</v>
      </c>
      <c r="B4" s="4" t="s">
        <v>28</v>
      </c>
      <c r="C4" s="4" t="s">
        <v>40</v>
      </c>
      <c r="D4" s="4" t="s">
        <v>41</v>
      </c>
      <c r="E4" s="4" t="s">
        <v>42</v>
      </c>
      <c r="F4" s="4" t="s">
        <v>43</v>
      </c>
      <c r="G4" s="4" t="s">
        <v>44</v>
      </c>
    </row>
    <row r="5" customFormat="false" ht="15" hidden="false" customHeight="false" outlineLevel="0" collapsed="false">
      <c r="A5" s="14" t="n">
        <v>1</v>
      </c>
      <c r="B5" s="5" t="s">
        <v>31</v>
      </c>
      <c r="C5" s="5" t="s">
        <v>45</v>
      </c>
      <c r="D5" s="14" t="s">
        <v>46</v>
      </c>
      <c r="E5" s="15" t="s">
        <v>47</v>
      </c>
      <c r="F5" s="5" t="s">
        <v>48</v>
      </c>
      <c r="G5" s="5" t="s">
        <v>49</v>
      </c>
    </row>
    <row r="6" customFormat="false" ht="15" hidden="false" customHeight="false" outlineLevel="0" collapsed="false">
      <c r="A6" s="14" t="n">
        <v>2</v>
      </c>
      <c r="B6" s="5" t="s">
        <v>31</v>
      </c>
      <c r="C6" s="5" t="s">
        <v>50</v>
      </c>
      <c r="D6" s="14" t="s">
        <v>46</v>
      </c>
      <c r="E6" s="15" t="s">
        <v>51</v>
      </c>
      <c r="F6" s="5" t="s">
        <v>52</v>
      </c>
      <c r="G6" s="5" t="s">
        <v>53</v>
      </c>
    </row>
    <row r="7" customFormat="false" ht="15" hidden="false" customHeight="false" outlineLevel="0" collapsed="false">
      <c r="A7" s="14" t="n">
        <v>3</v>
      </c>
      <c r="B7" s="5" t="s">
        <v>31</v>
      </c>
      <c r="C7" s="5" t="s">
        <v>54</v>
      </c>
      <c r="D7" s="14" t="s">
        <v>55</v>
      </c>
      <c r="E7" s="15" t="s">
        <v>56</v>
      </c>
      <c r="F7" s="5" t="s">
        <v>57</v>
      </c>
      <c r="G7" s="5" t="s">
        <v>58</v>
      </c>
    </row>
    <row r="8" customFormat="false" ht="15" hidden="false" customHeight="false" outlineLevel="0" collapsed="false">
      <c r="A8" s="14" t="n">
        <v>4</v>
      </c>
      <c r="B8" s="5" t="s">
        <v>32</v>
      </c>
      <c r="C8" s="5" t="s">
        <v>59</v>
      </c>
      <c r="D8" s="14" t="s">
        <v>46</v>
      </c>
      <c r="E8" s="15" t="s">
        <v>60</v>
      </c>
      <c r="F8" s="5" t="s">
        <v>61</v>
      </c>
      <c r="G8" s="5" t="s">
        <v>62</v>
      </c>
    </row>
    <row r="9" customFormat="false" ht="15" hidden="false" customHeight="false" outlineLevel="0" collapsed="false">
      <c r="A9" s="14" t="n">
        <v>5</v>
      </c>
      <c r="B9" s="5" t="s">
        <v>32</v>
      </c>
      <c r="C9" s="5" t="s">
        <v>63</v>
      </c>
      <c r="D9" s="14" t="s">
        <v>46</v>
      </c>
      <c r="E9" s="15" t="s">
        <v>64</v>
      </c>
      <c r="F9" s="5" t="s">
        <v>65</v>
      </c>
      <c r="G9" s="5" t="s">
        <v>66</v>
      </c>
    </row>
    <row r="10" customFormat="false" ht="15" hidden="false" customHeight="false" outlineLevel="0" collapsed="false">
      <c r="A10" s="14" t="n">
        <v>6</v>
      </c>
      <c r="B10" s="5" t="s">
        <v>32</v>
      </c>
      <c r="C10" s="5" t="s">
        <v>67</v>
      </c>
      <c r="D10" s="14" t="s">
        <v>46</v>
      </c>
      <c r="E10" s="15" t="s">
        <v>51</v>
      </c>
      <c r="F10" s="5" t="s">
        <v>68</v>
      </c>
      <c r="G10" s="5" t="s">
        <v>69</v>
      </c>
    </row>
    <row r="11" customFormat="false" ht="15" hidden="false" customHeight="false" outlineLevel="0" collapsed="false">
      <c r="A11" s="14" t="n">
        <v>7</v>
      </c>
      <c r="B11" s="5" t="s">
        <v>32</v>
      </c>
      <c r="C11" s="5" t="s">
        <v>70</v>
      </c>
      <c r="D11" s="14" t="s">
        <v>46</v>
      </c>
      <c r="E11" s="15" t="s">
        <v>60</v>
      </c>
      <c r="F11" s="5" t="s">
        <v>71</v>
      </c>
      <c r="G11" s="5" t="s">
        <v>72</v>
      </c>
    </row>
    <row r="12" customFormat="false" ht="15" hidden="false" customHeight="false" outlineLevel="0" collapsed="false">
      <c r="A12" s="14" t="n">
        <v>8</v>
      </c>
      <c r="B12" s="5" t="s">
        <v>32</v>
      </c>
      <c r="C12" s="5" t="s">
        <v>73</v>
      </c>
      <c r="D12" s="14" t="s">
        <v>46</v>
      </c>
      <c r="E12" s="15" t="s">
        <v>51</v>
      </c>
      <c r="F12" s="5" t="s">
        <v>74</v>
      </c>
      <c r="G12" s="5" t="s">
        <v>75</v>
      </c>
    </row>
    <row r="13" customFormat="false" ht="15" hidden="false" customHeight="false" outlineLevel="0" collapsed="false">
      <c r="A13" s="14" t="n">
        <v>9</v>
      </c>
      <c r="B13" s="5" t="s">
        <v>32</v>
      </c>
      <c r="C13" s="5" t="s">
        <v>76</v>
      </c>
      <c r="D13" s="14" t="s">
        <v>46</v>
      </c>
      <c r="E13" s="15" t="s">
        <v>60</v>
      </c>
      <c r="F13" s="5" t="s">
        <v>77</v>
      </c>
      <c r="G13" s="5" t="s">
        <v>78</v>
      </c>
    </row>
    <row r="14" customFormat="false" ht="15" hidden="false" customHeight="false" outlineLevel="0" collapsed="false">
      <c r="A14" s="14" t="n">
        <v>10</v>
      </c>
      <c r="B14" s="5" t="s">
        <v>33</v>
      </c>
      <c r="C14" s="5" t="s">
        <v>79</v>
      </c>
      <c r="D14" s="14" t="s">
        <v>55</v>
      </c>
      <c r="E14" s="15" t="s">
        <v>80</v>
      </c>
      <c r="F14" s="5" t="s">
        <v>81</v>
      </c>
      <c r="G14" s="5" t="s">
        <v>82</v>
      </c>
    </row>
    <row r="15" customFormat="false" ht="15" hidden="false" customHeight="false" outlineLevel="0" collapsed="false">
      <c r="A15" s="14" t="n">
        <v>11</v>
      </c>
      <c r="B15" s="5" t="s">
        <v>33</v>
      </c>
      <c r="C15" s="5" t="s">
        <v>83</v>
      </c>
      <c r="D15" s="14" t="s">
        <v>55</v>
      </c>
      <c r="E15" s="15" t="s">
        <v>84</v>
      </c>
      <c r="F15" s="5" t="s">
        <v>85</v>
      </c>
      <c r="G15" s="5" t="s">
        <v>86</v>
      </c>
    </row>
    <row r="16" customFormat="false" ht="15" hidden="false" customHeight="false" outlineLevel="0" collapsed="false">
      <c r="A16" s="14" t="n">
        <v>12</v>
      </c>
      <c r="B16" s="5" t="s">
        <v>33</v>
      </c>
      <c r="C16" s="5" t="s">
        <v>87</v>
      </c>
      <c r="D16" s="14" t="s">
        <v>46</v>
      </c>
      <c r="E16" s="15" t="s">
        <v>47</v>
      </c>
      <c r="F16" s="5" t="s">
        <v>88</v>
      </c>
      <c r="G16" s="5" t="s">
        <v>89</v>
      </c>
    </row>
    <row r="17" customFormat="false" ht="15" hidden="false" customHeight="false" outlineLevel="0" collapsed="false">
      <c r="A17" s="14" t="n">
        <v>13</v>
      </c>
      <c r="B17" s="5" t="s">
        <v>34</v>
      </c>
      <c r="C17" s="5" t="s">
        <v>90</v>
      </c>
      <c r="D17" s="14" t="s">
        <v>55</v>
      </c>
      <c r="E17" s="15" t="s">
        <v>91</v>
      </c>
      <c r="F17" s="5" t="s">
        <v>92</v>
      </c>
      <c r="G17" s="5" t="s">
        <v>93</v>
      </c>
    </row>
    <row r="18" customFormat="false" ht="15" hidden="false" customHeight="false" outlineLevel="0" collapsed="false">
      <c r="A18" s="14" t="n">
        <v>14</v>
      </c>
      <c r="B18" s="5" t="s">
        <v>34</v>
      </c>
      <c r="C18" s="5" t="s">
        <v>94</v>
      </c>
      <c r="D18" s="14" t="s">
        <v>46</v>
      </c>
      <c r="E18" s="15" t="s">
        <v>64</v>
      </c>
      <c r="F18" s="5" t="s">
        <v>48</v>
      </c>
      <c r="G18" s="5" t="s">
        <v>95</v>
      </c>
    </row>
    <row r="19" customFormat="false" ht="15" hidden="false" customHeight="false" outlineLevel="0" collapsed="false">
      <c r="A19" s="14" t="n">
        <v>15</v>
      </c>
      <c r="B19" s="5" t="s">
        <v>34</v>
      </c>
      <c r="C19" s="5" t="s">
        <v>96</v>
      </c>
      <c r="D19" s="14" t="s">
        <v>46</v>
      </c>
      <c r="E19" s="15" t="s">
        <v>60</v>
      </c>
      <c r="F19" s="5" t="s">
        <v>97</v>
      </c>
      <c r="G19" s="5" t="s">
        <v>98</v>
      </c>
    </row>
    <row r="20" customFormat="false" ht="15" hidden="false" customHeight="false" outlineLevel="0" collapsed="false">
      <c r="A20" s="14" t="n">
        <v>16</v>
      </c>
      <c r="B20" s="5" t="s">
        <v>34</v>
      </c>
      <c r="C20" s="5" t="s">
        <v>99</v>
      </c>
      <c r="D20" s="14" t="s">
        <v>46</v>
      </c>
      <c r="E20" s="15" t="s">
        <v>47</v>
      </c>
      <c r="F20" s="5" t="s">
        <v>100</v>
      </c>
      <c r="G20" s="5" t="s">
        <v>101</v>
      </c>
    </row>
    <row r="21" customFormat="false" ht="15" hidden="false" customHeight="false" outlineLevel="0" collapsed="false">
      <c r="A21" s="14" t="n">
        <v>17</v>
      </c>
      <c r="B21" s="5" t="s">
        <v>35</v>
      </c>
      <c r="C21" s="5" t="s">
        <v>102</v>
      </c>
      <c r="D21" s="14" t="s">
        <v>46</v>
      </c>
      <c r="E21" s="15" t="s">
        <v>64</v>
      </c>
      <c r="F21" s="5" t="s">
        <v>103</v>
      </c>
      <c r="G21" s="5" t="s">
        <v>104</v>
      </c>
    </row>
    <row r="22" customFormat="false" ht="15" hidden="false" customHeight="false" outlineLevel="0" collapsed="false">
      <c r="A22" s="14" t="n">
        <v>18</v>
      </c>
      <c r="B22" s="5" t="s">
        <v>35</v>
      </c>
      <c r="C22" s="5" t="s">
        <v>105</v>
      </c>
      <c r="D22" s="14" t="s">
        <v>46</v>
      </c>
      <c r="E22" s="15" t="s">
        <v>64</v>
      </c>
      <c r="F22" s="5" t="s">
        <v>106</v>
      </c>
      <c r="G22" s="5" t="s">
        <v>107</v>
      </c>
    </row>
    <row r="23" customFormat="false" ht="15" hidden="false" customHeight="false" outlineLevel="0" collapsed="false">
      <c r="A23" s="14" t="n">
        <v>19</v>
      </c>
      <c r="B23" s="5" t="s">
        <v>35</v>
      </c>
      <c r="C23" s="5" t="s">
        <v>108</v>
      </c>
      <c r="D23" s="14" t="s">
        <v>55</v>
      </c>
      <c r="E23" s="15" t="s">
        <v>84</v>
      </c>
      <c r="F23" s="5" t="s">
        <v>109</v>
      </c>
      <c r="G23" s="5" t="s">
        <v>110</v>
      </c>
    </row>
    <row r="24" customFormat="false" ht="15" hidden="false" customHeight="false" outlineLevel="0" collapsed="false">
      <c r="A24" s="14" t="n">
        <v>20</v>
      </c>
      <c r="B24" s="5" t="s">
        <v>35</v>
      </c>
      <c r="C24" s="5" t="s">
        <v>111</v>
      </c>
      <c r="D24" s="14" t="s">
        <v>55</v>
      </c>
      <c r="E24" s="15" t="s">
        <v>47</v>
      </c>
      <c r="F24" s="5" t="s">
        <v>112</v>
      </c>
      <c r="G24" s="5" t="s">
        <v>113</v>
      </c>
    </row>
    <row r="25" customFormat="false" ht="15" hidden="false" customHeight="false" outlineLevel="0" collapsed="false">
      <c r="A25" s="14" t="n">
        <v>21</v>
      </c>
      <c r="B25" s="5" t="s">
        <v>36</v>
      </c>
      <c r="C25" s="5" t="s">
        <v>114</v>
      </c>
      <c r="D25" s="14" t="s">
        <v>46</v>
      </c>
      <c r="E25" s="15" t="s">
        <v>60</v>
      </c>
      <c r="F25" s="5" t="s">
        <v>115</v>
      </c>
      <c r="G25" s="5" t="s">
        <v>116</v>
      </c>
    </row>
    <row r="26" customFormat="false" ht="15" hidden="false" customHeight="false" outlineLevel="0" collapsed="false">
      <c r="A26" s="14" t="n">
        <v>22</v>
      </c>
      <c r="B26" s="5" t="s">
        <v>36</v>
      </c>
      <c r="C26" s="5" t="s">
        <v>117</v>
      </c>
      <c r="D26" s="14" t="s">
        <v>46</v>
      </c>
      <c r="E26" s="15" t="s">
        <v>64</v>
      </c>
      <c r="F26" s="5" t="s">
        <v>118</v>
      </c>
      <c r="G26" s="5" t="s">
        <v>119</v>
      </c>
    </row>
    <row r="27" customFormat="false" ht="15" hidden="false" customHeight="false" outlineLevel="0" collapsed="false">
      <c r="A27" s="14" t="n">
        <v>23</v>
      </c>
      <c r="B27" s="5" t="s">
        <v>36</v>
      </c>
      <c r="C27" s="5" t="s">
        <v>120</v>
      </c>
      <c r="D27" s="14" t="s">
        <v>46</v>
      </c>
      <c r="E27" s="15" t="s">
        <v>64</v>
      </c>
      <c r="F27" s="5" t="s">
        <v>121</v>
      </c>
      <c r="G27" s="5" t="s">
        <v>122</v>
      </c>
    </row>
    <row r="28" customFormat="false" ht="15" hidden="false" customHeight="false" outlineLevel="0" collapsed="false">
      <c r="A28" s="14" t="n">
        <v>24</v>
      </c>
      <c r="B28" s="5" t="s">
        <v>36</v>
      </c>
      <c r="C28" s="5" t="s">
        <v>123</v>
      </c>
      <c r="D28" s="14" t="s">
        <v>46</v>
      </c>
      <c r="E28" s="15" t="s">
        <v>47</v>
      </c>
      <c r="F28" s="5" t="s">
        <v>124</v>
      </c>
      <c r="G28" s="5" t="s">
        <v>125</v>
      </c>
    </row>
    <row r="29" customFormat="false" ht="15" hidden="false" customHeight="false" outlineLevel="0" collapsed="false">
      <c r="A29" s="14" t="n">
        <v>25</v>
      </c>
      <c r="B29" s="5" t="s">
        <v>36</v>
      </c>
      <c r="C29" s="5" t="s">
        <v>126</v>
      </c>
      <c r="D29" s="14" t="s">
        <v>46</v>
      </c>
      <c r="E29" s="15" t="s">
        <v>60</v>
      </c>
      <c r="F29" s="5" t="s">
        <v>127</v>
      </c>
      <c r="G29" s="5" t="s">
        <v>128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G3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5" ySplit="4" topLeftCell="F5" activePane="bottomRight" state="frozen"/>
      <selection pane="topLeft" activeCell="A1" activeCellId="0" sqref="A1"/>
      <selection pane="topRight" activeCell="F1" activeCellId="0" sqref="F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28"/>
    <col collapsed="false" customWidth="true" hidden="false" outlineLevel="0" max="3" min="3" style="0" width="14"/>
    <col collapsed="false" customWidth="true" hidden="false" outlineLevel="0" max="4" min="4" style="0" width="10"/>
    <col collapsed="false" customWidth="true" hidden="false" outlineLevel="0" max="5" min="5" style="0" width="18"/>
    <col collapsed="false" customWidth="true" hidden="false" outlineLevel="0" max="30" min="6" style="0" width="4"/>
    <col collapsed="false" customWidth="true" hidden="false" outlineLevel="0" max="31" min="31" style="0" width="11"/>
    <col collapsed="false" customWidth="true" hidden="false" outlineLevel="0" max="32" min="32" style="0" width="10"/>
    <col collapsed="false" customWidth="true" hidden="false" outlineLevel="0" max="33" min="33" style="0" width="20"/>
  </cols>
  <sheetData>
    <row r="1" customFormat="false" ht="17.15" hidden="false" customHeight="false" outlineLevel="0" collapsed="false">
      <c r="A1" s="1" t="s">
        <v>129</v>
      </c>
    </row>
    <row r="2" customFormat="false" ht="15" hidden="false" customHeight="false" outlineLevel="0" collapsed="false">
      <c r="A2" s="2" t="s">
        <v>130</v>
      </c>
    </row>
    <row r="4" customFormat="false" ht="30" hidden="false" customHeight="true" outlineLevel="0" collapsed="false">
      <c r="A4" s="4" t="s">
        <v>131</v>
      </c>
      <c r="B4" s="4" t="s">
        <v>132</v>
      </c>
      <c r="C4" s="4" t="s">
        <v>133</v>
      </c>
      <c r="D4" s="4" t="s">
        <v>134</v>
      </c>
      <c r="E4" s="4" t="s">
        <v>135</v>
      </c>
      <c r="F4" s="4" t="s">
        <v>136</v>
      </c>
      <c r="G4" s="4" t="s">
        <v>137</v>
      </c>
      <c r="H4" s="4" t="s">
        <v>138</v>
      </c>
      <c r="I4" s="4" t="s">
        <v>139</v>
      </c>
      <c r="J4" s="4" t="s">
        <v>140</v>
      </c>
      <c r="K4" s="4" t="s">
        <v>141</v>
      </c>
      <c r="L4" s="4" t="s">
        <v>142</v>
      </c>
      <c r="M4" s="4" t="s">
        <v>143</v>
      </c>
      <c r="N4" s="4" t="s">
        <v>144</v>
      </c>
      <c r="O4" s="4" t="s">
        <v>145</v>
      </c>
      <c r="P4" s="4" t="s">
        <v>146</v>
      </c>
      <c r="Q4" s="4" t="s">
        <v>147</v>
      </c>
      <c r="R4" s="4" t="s">
        <v>148</v>
      </c>
      <c r="S4" s="4" t="s">
        <v>149</v>
      </c>
      <c r="T4" s="4" t="s">
        <v>150</v>
      </c>
      <c r="U4" s="4" t="s">
        <v>151</v>
      </c>
      <c r="V4" s="4" t="s">
        <v>152</v>
      </c>
      <c r="W4" s="4" t="s">
        <v>153</v>
      </c>
      <c r="X4" s="4" t="s">
        <v>154</v>
      </c>
      <c r="Y4" s="4" t="s">
        <v>155</v>
      </c>
      <c r="Z4" s="4" t="s">
        <v>156</v>
      </c>
      <c r="AA4" s="4" t="s">
        <v>157</v>
      </c>
      <c r="AB4" s="4" t="s">
        <v>158</v>
      </c>
      <c r="AC4" s="4" t="s">
        <v>159</v>
      </c>
      <c r="AD4" s="4" t="s">
        <v>160</v>
      </c>
      <c r="AE4" s="4" t="s">
        <v>161</v>
      </c>
      <c r="AF4" s="4" t="s">
        <v>162</v>
      </c>
      <c r="AG4" s="4" t="s">
        <v>163</v>
      </c>
    </row>
    <row r="5" customFormat="false" ht="15" hidden="false" customHeight="false" outlineLevel="0" collapsed="false">
      <c r="A5" s="14" t="n">
        <v>1</v>
      </c>
      <c r="B5" s="5" t="s">
        <v>164</v>
      </c>
      <c r="C5" s="5" t="s">
        <v>165</v>
      </c>
      <c r="D5" s="14" t="s">
        <v>166</v>
      </c>
      <c r="E5" s="16" t="n">
        <v>46256.5496838542</v>
      </c>
      <c r="F5" s="17" t="n">
        <v>1</v>
      </c>
      <c r="G5" s="18" t="n">
        <v>0</v>
      </c>
      <c r="H5" s="17" t="n">
        <v>1</v>
      </c>
      <c r="I5" s="17" t="n">
        <v>1</v>
      </c>
      <c r="J5" s="17" t="n">
        <v>1</v>
      </c>
      <c r="K5" s="17" t="n">
        <v>1</v>
      </c>
      <c r="L5" s="17" t="n">
        <v>1</v>
      </c>
      <c r="M5" s="17" t="n">
        <v>1</v>
      </c>
      <c r="N5" s="17" t="n">
        <v>1</v>
      </c>
      <c r="O5" s="17" t="n">
        <v>1</v>
      </c>
      <c r="P5" s="17" t="n">
        <v>1</v>
      </c>
      <c r="Q5" s="17" t="n">
        <v>1</v>
      </c>
      <c r="R5" s="18" t="n">
        <v>0</v>
      </c>
      <c r="S5" s="17" t="n">
        <v>1</v>
      </c>
      <c r="T5" s="17" t="n">
        <v>1</v>
      </c>
      <c r="U5" s="17" t="n">
        <v>1</v>
      </c>
      <c r="V5" s="17" t="n">
        <v>1</v>
      </c>
      <c r="W5" s="17" t="n">
        <v>1</v>
      </c>
      <c r="X5" s="17" t="n">
        <v>1</v>
      </c>
      <c r="Y5" s="17" t="n">
        <v>1</v>
      </c>
      <c r="Z5" s="17" t="n">
        <v>1</v>
      </c>
      <c r="AA5" s="17" t="n">
        <v>1</v>
      </c>
      <c r="AB5" s="17" t="n">
        <v>1</v>
      </c>
      <c r="AC5" s="17" t="n">
        <v>1</v>
      </c>
      <c r="AD5" s="17" t="n">
        <v>1</v>
      </c>
      <c r="AE5" s="19" t="n">
        <f aca="false">SUM(F5:AD5)</f>
        <v>23</v>
      </c>
      <c r="AF5" s="10" t="n">
        <f aca="false">AE5/25</f>
        <v>0.92</v>
      </c>
      <c r="AG5" s="5" t="s">
        <v>167</v>
      </c>
    </row>
    <row r="6" customFormat="false" ht="15" hidden="false" customHeight="false" outlineLevel="0" collapsed="false">
      <c r="A6" s="14" t="n">
        <v>2</v>
      </c>
      <c r="B6" s="5" t="s">
        <v>168</v>
      </c>
      <c r="C6" s="5" t="s">
        <v>169</v>
      </c>
      <c r="D6" s="14" t="s">
        <v>170</v>
      </c>
      <c r="E6" s="16" t="n">
        <v>46255.6525683796</v>
      </c>
      <c r="F6" s="17" t="n">
        <v>1</v>
      </c>
      <c r="G6" s="17" t="n">
        <v>1</v>
      </c>
      <c r="H6" s="18" t="n">
        <v>0</v>
      </c>
      <c r="I6" s="17" t="n">
        <v>1</v>
      </c>
      <c r="J6" s="18" t="n">
        <v>0</v>
      </c>
      <c r="K6" s="17" t="n">
        <v>1</v>
      </c>
      <c r="L6" s="17" t="n">
        <v>1</v>
      </c>
      <c r="M6" s="18" t="n">
        <v>0</v>
      </c>
      <c r="N6" s="17" t="n">
        <v>1</v>
      </c>
      <c r="O6" s="17" t="n">
        <v>1</v>
      </c>
      <c r="P6" s="17" t="n">
        <v>1</v>
      </c>
      <c r="Q6" s="17" t="n">
        <v>1</v>
      </c>
      <c r="R6" s="17" t="n">
        <v>1</v>
      </c>
      <c r="S6" s="17" t="n">
        <v>1</v>
      </c>
      <c r="T6" s="17" t="n">
        <v>1</v>
      </c>
      <c r="U6" s="17" t="n">
        <v>1</v>
      </c>
      <c r="V6" s="17" t="n">
        <v>1</v>
      </c>
      <c r="W6" s="17" t="n">
        <v>1</v>
      </c>
      <c r="X6" s="17" t="n">
        <v>1</v>
      </c>
      <c r="Y6" s="17" t="n">
        <v>1</v>
      </c>
      <c r="Z6" s="17" t="n">
        <v>1</v>
      </c>
      <c r="AA6" s="17" t="n">
        <v>1</v>
      </c>
      <c r="AB6" s="17" t="n">
        <v>1</v>
      </c>
      <c r="AC6" s="17" t="n">
        <v>1</v>
      </c>
      <c r="AD6" s="17" t="n">
        <v>1</v>
      </c>
      <c r="AE6" s="19" t="n">
        <f aca="false">SUM(F6:AD6)</f>
        <v>22</v>
      </c>
      <c r="AF6" s="10" t="n">
        <f aca="false">AE6/25</f>
        <v>0.88</v>
      </c>
      <c r="AG6" s="5" t="s">
        <v>167</v>
      </c>
    </row>
    <row r="7" customFormat="false" ht="15" hidden="false" customHeight="false" outlineLevel="0" collapsed="false">
      <c r="A7" s="14" t="n">
        <v>3</v>
      </c>
      <c r="B7" s="5" t="s">
        <v>171</v>
      </c>
      <c r="C7" s="5" t="s">
        <v>172</v>
      </c>
      <c r="D7" s="14" t="s">
        <v>166</v>
      </c>
      <c r="E7" s="16" t="n">
        <v>46256.003208912</v>
      </c>
      <c r="F7" s="17" t="n">
        <v>1</v>
      </c>
      <c r="G7" s="17" t="n">
        <v>1</v>
      </c>
      <c r="H7" s="18" t="n">
        <v>0</v>
      </c>
      <c r="I7" s="18" t="n">
        <v>0</v>
      </c>
      <c r="J7" s="17" t="n">
        <v>1</v>
      </c>
      <c r="K7" s="17" t="n">
        <v>1</v>
      </c>
      <c r="L7" s="17" t="n">
        <v>1</v>
      </c>
      <c r="M7" s="17" t="n">
        <v>1</v>
      </c>
      <c r="N7" s="17" t="n">
        <v>1</v>
      </c>
      <c r="O7" s="17" t="n">
        <v>1</v>
      </c>
      <c r="P7" s="17" t="n">
        <v>1</v>
      </c>
      <c r="Q7" s="17" t="n">
        <v>1</v>
      </c>
      <c r="R7" s="17" t="n">
        <v>1</v>
      </c>
      <c r="S7" s="17" t="n">
        <v>1</v>
      </c>
      <c r="T7" s="18" t="n">
        <v>0</v>
      </c>
      <c r="U7" s="17" t="n">
        <v>1</v>
      </c>
      <c r="V7" s="17" t="n">
        <v>1</v>
      </c>
      <c r="W7" s="17" t="n">
        <v>1</v>
      </c>
      <c r="X7" s="17" t="n">
        <v>1</v>
      </c>
      <c r="Y7" s="17" t="n">
        <v>1</v>
      </c>
      <c r="Z7" s="17" t="n">
        <v>1</v>
      </c>
      <c r="AA7" s="17" t="n">
        <v>1</v>
      </c>
      <c r="AB7" s="17" t="n">
        <v>1</v>
      </c>
      <c r="AC7" s="17" t="n">
        <v>1</v>
      </c>
      <c r="AD7" s="17" t="n">
        <v>1</v>
      </c>
      <c r="AE7" s="19" t="n">
        <f aca="false">SUM(F7:AD7)</f>
        <v>22</v>
      </c>
      <c r="AF7" s="10" t="n">
        <f aca="false">AE7/25</f>
        <v>0.88</v>
      </c>
      <c r="AG7" s="5" t="s">
        <v>167</v>
      </c>
    </row>
    <row r="8" customFormat="false" ht="15" hidden="false" customHeight="false" outlineLevel="0" collapsed="false">
      <c r="A8" s="14" t="n">
        <v>4</v>
      </c>
      <c r="B8" s="5" t="s">
        <v>173</v>
      </c>
      <c r="C8" s="5" t="s">
        <v>174</v>
      </c>
      <c r="D8" s="14" t="s">
        <v>166</v>
      </c>
      <c r="E8" s="16" t="n">
        <v>46257.4327644213</v>
      </c>
      <c r="F8" s="17" t="n">
        <v>1</v>
      </c>
      <c r="G8" s="17" t="n">
        <v>1</v>
      </c>
      <c r="H8" s="17" t="n">
        <v>1</v>
      </c>
      <c r="I8" s="17" t="n">
        <v>1</v>
      </c>
      <c r="J8" s="17" t="n">
        <v>1</v>
      </c>
      <c r="K8" s="17" t="n">
        <v>1</v>
      </c>
      <c r="L8" s="17" t="n">
        <v>1</v>
      </c>
      <c r="M8" s="18" t="n">
        <v>0</v>
      </c>
      <c r="N8" s="17" t="n">
        <v>1</v>
      </c>
      <c r="O8" s="17" t="n">
        <v>1</v>
      </c>
      <c r="P8" s="17" t="n">
        <v>1</v>
      </c>
      <c r="Q8" s="17" t="n">
        <v>1</v>
      </c>
      <c r="R8" s="17" t="n">
        <v>1</v>
      </c>
      <c r="S8" s="18" t="n">
        <v>0</v>
      </c>
      <c r="T8" s="17" t="n">
        <v>1</v>
      </c>
      <c r="U8" s="17" t="n">
        <v>1</v>
      </c>
      <c r="V8" s="17" t="n">
        <v>1</v>
      </c>
      <c r="W8" s="17" t="n">
        <v>1</v>
      </c>
      <c r="X8" s="17" t="n">
        <v>1</v>
      </c>
      <c r="Y8" s="18" t="n">
        <v>0</v>
      </c>
      <c r="Z8" s="17" t="n">
        <v>1</v>
      </c>
      <c r="AA8" s="17" t="n">
        <v>1</v>
      </c>
      <c r="AB8" s="17" t="n">
        <v>1</v>
      </c>
      <c r="AC8" s="17" t="n">
        <v>1</v>
      </c>
      <c r="AD8" s="17" t="n">
        <v>1</v>
      </c>
      <c r="AE8" s="19" t="n">
        <f aca="false">SUM(F8:AD8)</f>
        <v>22</v>
      </c>
      <c r="AF8" s="10" t="n">
        <f aca="false">AE8/25</f>
        <v>0.88</v>
      </c>
      <c r="AG8" s="5" t="s">
        <v>167</v>
      </c>
    </row>
    <row r="9" customFormat="false" ht="15" hidden="false" customHeight="false" outlineLevel="0" collapsed="false">
      <c r="A9" s="14" t="n">
        <v>5</v>
      </c>
      <c r="B9" s="5" t="s">
        <v>175</v>
      </c>
      <c r="C9" s="5" t="s">
        <v>176</v>
      </c>
      <c r="D9" s="14" t="s">
        <v>166</v>
      </c>
      <c r="E9" s="16" t="n">
        <v>46255.9791742593</v>
      </c>
      <c r="F9" s="17" t="n">
        <v>1</v>
      </c>
      <c r="G9" s="17" t="n">
        <v>1</v>
      </c>
      <c r="H9" s="17" t="n">
        <v>1</v>
      </c>
      <c r="I9" s="17" t="n">
        <v>1</v>
      </c>
      <c r="J9" s="17" t="n">
        <v>1</v>
      </c>
      <c r="K9" s="17" t="n">
        <v>1</v>
      </c>
      <c r="L9" s="17" t="n">
        <v>1</v>
      </c>
      <c r="M9" s="17" t="n">
        <v>1</v>
      </c>
      <c r="N9" s="17" t="n">
        <v>1</v>
      </c>
      <c r="O9" s="17" t="n">
        <v>1</v>
      </c>
      <c r="P9" s="17" t="n">
        <v>1</v>
      </c>
      <c r="Q9" s="17" t="n">
        <v>1</v>
      </c>
      <c r="R9" s="17" t="n">
        <v>1</v>
      </c>
      <c r="S9" s="17" t="n">
        <v>1</v>
      </c>
      <c r="T9" s="18" t="n">
        <v>0</v>
      </c>
      <c r="U9" s="18" t="n">
        <v>0</v>
      </c>
      <c r="V9" s="18" t="n">
        <v>0</v>
      </c>
      <c r="W9" s="17" t="n">
        <v>1</v>
      </c>
      <c r="X9" s="17" t="n">
        <v>1</v>
      </c>
      <c r="Y9" s="17" t="n">
        <v>1</v>
      </c>
      <c r="Z9" s="18" t="n">
        <v>0</v>
      </c>
      <c r="AA9" s="17" t="n">
        <v>1</v>
      </c>
      <c r="AB9" s="17" t="n">
        <v>1</v>
      </c>
      <c r="AC9" s="17" t="n">
        <v>1</v>
      </c>
      <c r="AD9" s="18" t="n">
        <v>0</v>
      </c>
      <c r="AE9" s="19" t="n">
        <f aca="false">SUM(F9:AD9)</f>
        <v>20</v>
      </c>
      <c r="AF9" s="10" t="n">
        <f aca="false">AE9/25</f>
        <v>0.8</v>
      </c>
      <c r="AG9" s="5" t="s">
        <v>167</v>
      </c>
    </row>
    <row r="10" customFormat="false" ht="15" hidden="false" customHeight="false" outlineLevel="0" collapsed="false">
      <c r="A10" s="14" t="n">
        <v>6</v>
      </c>
      <c r="B10" s="5" t="s">
        <v>177</v>
      </c>
      <c r="C10" s="5" t="s">
        <v>178</v>
      </c>
      <c r="D10" s="14" t="s">
        <v>170</v>
      </c>
      <c r="E10" s="16" t="n">
        <v>46255.6096624074</v>
      </c>
      <c r="F10" s="17" t="n">
        <v>1</v>
      </c>
      <c r="G10" s="18" t="n">
        <v>0</v>
      </c>
      <c r="H10" s="18" t="n">
        <v>0</v>
      </c>
      <c r="I10" s="17" t="n">
        <v>1</v>
      </c>
      <c r="J10" s="17" t="n">
        <v>1</v>
      </c>
      <c r="K10" s="17" t="n">
        <v>1</v>
      </c>
      <c r="L10" s="17" t="n">
        <v>1</v>
      </c>
      <c r="M10" s="17" t="n">
        <v>1</v>
      </c>
      <c r="N10" s="17" t="n">
        <v>1</v>
      </c>
      <c r="O10" s="17" t="n">
        <v>1</v>
      </c>
      <c r="P10" s="17" t="n">
        <v>1</v>
      </c>
      <c r="Q10" s="17" t="n">
        <v>1</v>
      </c>
      <c r="R10" s="18" t="n">
        <v>0</v>
      </c>
      <c r="S10" s="18" t="n">
        <v>0</v>
      </c>
      <c r="T10" s="18" t="n">
        <v>0</v>
      </c>
      <c r="U10" s="17" t="n">
        <v>1</v>
      </c>
      <c r="V10" s="18" t="n">
        <v>0</v>
      </c>
      <c r="W10" s="17" t="n">
        <v>1</v>
      </c>
      <c r="X10" s="17" t="n">
        <v>1</v>
      </c>
      <c r="Y10" s="17" t="n">
        <v>1</v>
      </c>
      <c r="Z10" s="17" t="n">
        <v>1</v>
      </c>
      <c r="AA10" s="17" t="n">
        <v>1</v>
      </c>
      <c r="AB10" s="17" t="n">
        <v>1</v>
      </c>
      <c r="AC10" s="17" t="n">
        <v>1</v>
      </c>
      <c r="AD10" s="17" t="n">
        <v>1</v>
      </c>
      <c r="AE10" s="19" t="n">
        <f aca="false">SUM(F10:AD10)</f>
        <v>19</v>
      </c>
      <c r="AF10" s="10" t="n">
        <f aca="false">AE10/25</f>
        <v>0.76</v>
      </c>
      <c r="AG10" s="5" t="s">
        <v>179</v>
      </c>
    </row>
    <row r="11" customFormat="false" ht="15" hidden="false" customHeight="false" outlineLevel="0" collapsed="false">
      <c r="A11" s="14" t="n">
        <v>7</v>
      </c>
      <c r="B11" s="5" t="s">
        <v>180</v>
      </c>
      <c r="C11" s="5" t="s">
        <v>181</v>
      </c>
      <c r="D11" s="14" t="s">
        <v>166</v>
      </c>
      <c r="E11" s="16" t="n">
        <v>46256.4561339583</v>
      </c>
      <c r="F11" s="17" t="n">
        <v>1</v>
      </c>
      <c r="G11" s="17" t="n">
        <v>1</v>
      </c>
      <c r="H11" s="17" t="n">
        <v>1</v>
      </c>
      <c r="I11" s="17" t="n">
        <v>1</v>
      </c>
      <c r="J11" s="17" t="n">
        <v>1</v>
      </c>
      <c r="K11" s="17" t="n">
        <v>1</v>
      </c>
      <c r="L11" s="17" t="n">
        <v>1</v>
      </c>
      <c r="M11" s="17" t="n">
        <v>1</v>
      </c>
      <c r="N11" s="17" t="n">
        <v>1</v>
      </c>
      <c r="O11" s="17" t="n">
        <v>1</v>
      </c>
      <c r="P11" s="17" t="n">
        <v>1</v>
      </c>
      <c r="Q11" s="17" t="n">
        <v>1</v>
      </c>
      <c r="R11" s="18" t="n">
        <v>0</v>
      </c>
      <c r="S11" s="17" t="n">
        <v>1</v>
      </c>
      <c r="T11" s="17" t="n">
        <v>1</v>
      </c>
      <c r="U11" s="17" t="n">
        <v>1</v>
      </c>
      <c r="V11" s="18" t="n">
        <v>0</v>
      </c>
      <c r="W11" s="18" t="n">
        <v>0</v>
      </c>
      <c r="X11" s="18" t="n">
        <v>0</v>
      </c>
      <c r="Y11" s="17" t="n">
        <v>1</v>
      </c>
      <c r="Z11" s="17" t="n">
        <v>1</v>
      </c>
      <c r="AA11" s="17" t="n">
        <v>1</v>
      </c>
      <c r="AB11" s="17" t="n">
        <v>1</v>
      </c>
      <c r="AC11" s="18" t="n">
        <v>0</v>
      </c>
      <c r="AD11" s="18" t="n">
        <v>0</v>
      </c>
      <c r="AE11" s="19" t="n">
        <f aca="false">SUM(F11:AD11)</f>
        <v>19</v>
      </c>
      <c r="AF11" s="10" t="n">
        <f aca="false">AE11/25</f>
        <v>0.76</v>
      </c>
      <c r="AG11" s="5" t="s">
        <v>179</v>
      </c>
    </row>
    <row r="12" customFormat="false" ht="15" hidden="false" customHeight="false" outlineLevel="0" collapsed="false">
      <c r="A12" s="14" t="n">
        <v>8</v>
      </c>
      <c r="B12" s="5" t="s">
        <v>182</v>
      </c>
      <c r="C12" s="5" t="s">
        <v>183</v>
      </c>
      <c r="D12" s="14" t="s">
        <v>166</v>
      </c>
      <c r="E12" s="16" t="n">
        <v>46258.324696412</v>
      </c>
      <c r="F12" s="17" t="n">
        <v>1</v>
      </c>
      <c r="G12" s="18" t="n">
        <v>0</v>
      </c>
      <c r="H12" s="17" t="n">
        <v>1</v>
      </c>
      <c r="I12" s="17" t="n">
        <v>1</v>
      </c>
      <c r="J12" s="17" t="n">
        <v>1</v>
      </c>
      <c r="K12" s="17" t="n">
        <v>1</v>
      </c>
      <c r="L12" s="18" t="n">
        <v>0</v>
      </c>
      <c r="M12" s="18" t="n">
        <v>0</v>
      </c>
      <c r="N12" s="17" t="n">
        <v>1</v>
      </c>
      <c r="O12" s="17" t="n">
        <v>1</v>
      </c>
      <c r="P12" s="17" t="n">
        <v>1</v>
      </c>
      <c r="Q12" s="17" t="n">
        <v>1</v>
      </c>
      <c r="R12" s="17" t="n">
        <v>1</v>
      </c>
      <c r="S12" s="18" t="n">
        <v>0</v>
      </c>
      <c r="T12" s="17" t="n">
        <v>1</v>
      </c>
      <c r="U12" s="17" t="n">
        <v>1</v>
      </c>
      <c r="V12" s="18" t="n">
        <v>0</v>
      </c>
      <c r="W12" s="17" t="n">
        <v>1</v>
      </c>
      <c r="X12" s="17" t="n">
        <v>1</v>
      </c>
      <c r="Y12" s="17" t="n">
        <v>1</v>
      </c>
      <c r="Z12" s="17" t="n">
        <v>1</v>
      </c>
      <c r="AA12" s="17" t="n">
        <v>1</v>
      </c>
      <c r="AB12" s="18" t="n">
        <v>0</v>
      </c>
      <c r="AC12" s="18" t="n">
        <v>0</v>
      </c>
      <c r="AD12" s="17" t="n">
        <v>1</v>
      </c>
      <c r="AE12" s="19" t="n">
        <f aca="false">SUM(F12:AD12)</f>
        <v>18</v>
      </c>
      <c r="AF12" s="10" t="n">
        <f aca="false">AE12/25</f>
        <v>0.72</v>
      </c>
      <c r="AG12" s="5" t="s">
        <v>179</v>
      </c>
    </row>
    <row r="13" customFormat="false" ht="15" hidden="false" customHeight="false" outlineLevel="0" collapsed="false">
      <c r="A13" s="14" t="n">
        <v>9</v>
      </c>
      <c r="B13" s="5" t="s">
        <v>184</v>
      </c>
      <c r="C13" s="5" t="s">
        <v>185</v>
      </c>
      <c r="D13" s="14" t="s">
        <v>170</v>
      </c>
      <c r="E13" s="16" t="n">
        <v>46258.3351524306</v>
      </c>
      <c r="F13" s="17" t="n">
        <v>1</v>
      </c>
      <c r="G13" s="18" t="n">
        <v>0</v>
      </c>
      <c r="H13" s="18" t="n">
        <v>0</v>
      </c>
      <c r="I13" s="17" t="n">
        <v>1</v>
      </c>
      <c r="J13" s="17" t="n">
        <v>1</v>
      </c>
      <c r="K13" s="17" t="n">
        <v>1</v>
      </c>
      <c r="L13" s="17" t="n">
        <v>1</v>
      </c>
      <c r="M13" s="18" t="n">
        <v>0</v>
      </c>
      <c r="N13" s="17" t="n">
        <v>1</v>
      </c>
      <c r="O13" s="17" t="n">
        <v>1</v>
      </c>
      <c r="P13" s="17" t="n">
        <v>1</v>
      </c>
      <c r="Q13" s="17" t="n">
        <v>1</v>
      </c>
      <c r="R13" s="17" t="n">
        <v>1</v>
      </c>
      <c r="S13" s="18" t="n">
        <v>0</v>
      </c>
      <c r="T13" s="17" t="n">
        <v>1</v>
      </c>
      <c r="U13" s="17" t="n">
        <v>1</v>
      </c>
      <c r="V13" s="18" t="n">
        <v>0</v>
      </c>
      <c r="W13" s="17" t="n">
        <v>1</v>
      </c>
      <c r="X13" s="18" t="n">
        <v>0</v>
      </c>
      <c r="Y13" s="17" t="n">
        <v>1</v>
      </c>
      <c r="Z13" s="17" t="n">
        <v>1</v>
      </c>
      <c r="AA13" s="17" t="n">
        <v>1</v>
      </c>
      <c r="AB13" s="17" t="n">
        <v>1</v>
      </c>
      <c r="AC13" s="18" t="n">
        <v>0</v>
      </c>
      <c r="AD13" s="18" t="n">
        <v>0</v>
      </c>
      <c r="AE13" s="19" t="n">
        <f aca="false">SUM(F13:AD13)</f>
        <v>17</v>
      </c>
      <c r="AF13" s="10" t="n">
        <f aca="false">AE13/25</f>
        <v>0.68</v>
      </c>
      <c r="AG13" s="5" t="s">
        <v>179</v>
      </c>
    </row>
    <row r="14" customFormat="false" ht="15" hidden="false" customHeight="false" outlineLevel="0" collapsed="false">
      <c r="A14" s="14" t="n">
        <v>10</v>
      </c>
      <c r="B14" s="5" t="s">
        <v>186</v>
      </c>
      <c r="C14" s="5" t="s">
        <v>187</v>
      </c>
      <c r="D14" s="14" t="s">
        <v>166</v>
      </c>
      <c r="E14" s="16" t="n">
        <v>46258.3349914931</v>
      </c>
      <c r="F14" s="17" t="n">
        <v>1</v>
      </c>
      <c r="G14" s="18" t="n">
        <v>0</v>
      </c>
      <c r="H14" s="18" t="n">
        <v>0</v>
      </c>
      <c r="I14" s="18" t="n">
        <v>0</v>
      </c>
      <c r="J14" s="18" t="n">
        <v>0</v>
      </c>
      <c r="K14" s="17" t="n">
        <v>1</v>
      </c>
      <c r="L14" s="18" t="n">
        <v>0</v>
      </c>
      <c r="M14" s="18" t="n">
        <v>0</v>
      </c>
      <c r="N14" s="17" t="n">
        <v>1</v>
      </c>
      <c r="O14" s="17" t="n">
        <v>1</v>
      </c>
      <c r="P14" s="17" t="n">
        <v>1</v>
      </c>
      <c r="Q14" s="17" t="n">
        <v>1</v>
      </c>
      <c r="R14" s="18" t="n">
        <v>0</v>
      </c>
      <c r="S14" s="17" t="n">
        <v>1</v>
      </c>
      <c r="T14" s="17" t="n">
        <v>1</v>
      </c>
      <c r="U14" s="17" t="n">
        <v>1</v>
      </c>
      <c r="V14" s="18" t="n">
        <v>0</v>
      </c>
      <c r="W14" s="18" t="n">
        <v>0</v>
      </c>
      <c r="X14" s="17" t="n">
        <v>1</v>
      </c>
      <c r="Y14" s="17" t="n">
        <v>1</v>
      </c>
      <c r="Z14" s="17" t="n">
        <v>1</v>
      </c>
      <c r="AA14" s="17" t="n">
        <v>1</v>
      </c>
      <c r="AB14" s="17" t="n">
        <v>1</v>
      </c>
      <c r="AC14" s="17" t="n">
        <v>1</v>
      </c>
      <c r="AD14" s="17" t="n">
        <v>1</v>
      </c>
      <c r="AE14" s="19" t="n">
        <f aca="false">SUM(F14:AD14)</f>
        <v>16</v>
      </c>
      <c r="AF14" s="10" t="n">
        <f aca="false">AE14/25</f>
        <v>0.64</v>
      </c>
      <c r="AG14" s="5" t="s">
        <v>179</v>
      </c>
    </row>
    <row r="15" customFormat="false" ht="15" hidden="false" customHeight="false" outlineLevel="0" collapsed="false">
      <c r="A15" s="14" t="n">
        <v>11</v>
      </c>
      <c r="B15" s="5" t="s">
        <v>188</v>
      </c>
      <c r="C15" s="5" t="s">
        <v>189</v>
      </c>
      <c r="D15" s="14" t="s">
        <v>170</v>
      </c>
      <c r="E15" s="16" t="n">
        <v>46255.6531893981</v>
      </c>
      <c r="F15" s="17" t="n">
        <v>1</v>
      </c>
      <c r="G15" s="17" t="n">
        <v>1</v>
      </c>
      <c r="H15" s="18" t="n">
        <v>0</v>
      </c>
      <c r="I15" s="17" t="n">
        <v>1</v>
      </c>
      <c r="J15" s="17" t="n">
        <v>1</v>
      </c>
      <c r="K15" s="17" t="n">
        <v>1</v>
      </c>
      <c r="L15" s="17" t="n">
        <v>1</v>
      </c>
      <c r="M15" s="18" t="n">
        <v>0</v>
      </c>
      <c r="N15" s="17" t="n">
        <v>1</v>
      </c>
      <c r="O15" s="17" t="n">
        <v>1</v>
      </c>
      <c r="P15" s="18" t="n">
        <v>0</v>
      </c>
      <c r="Q15" s="18" t="n">
        <v>0</v>
      </c>
      <c r="R15" s="17" t="n">
        <v>1</v>
      </c>
      <c r="S15" s="17" t="n">
        <v>1</v>
      </c>
      <c r="T15" s="17" t="n">
        <v>1</v>
      </c>
      <c r="U15" s="18" t="n">
        <v>0</v>
      </c>
      <c r="V15" s="18" t="n">
        <v>0</v>
      </c>
      <c r="W15" s="18" t="n">
        <v>0</v>
      </c>
      <c r="X15" s="17" t="n">
        <v>1</v>
      </c>
      <c r="Y15" s="18" t="n">
        <v>0</v>
      </c>
      <c r="Z15" s="18" t="n">
        <v>0</v>
      </c>
      <c r="AA15" s="17" t="n">
        <v>1</v>
      </c>
      <c r="AB15" s="17" t="n">
        <v>1</v>
      </c>
      <c r="AC15" s="17" t="n">
        <v>1</v>
      </c>
      <c r="AD15" s="18" t="n">
        <v>0</v>
      </c>
      <c r="AE15" s="19" t="n">
        <f aca="false">SUM(F15:AD15)</f>
        <v>15</v>
      </c>
      <c r="AF15" s="10" t="n">
        <f aca="false">AE15/25</f>
        <v>0.6</v>
      </c>
      <c r="AG15" s="5" t="s">
        <v>179</v>
      </c>
    </row>
    <row r="16" customFormat="false" ht="15" hidden="false" customHeight="false" outlineLevel="0" collapsed="false">
      <c r="A16" s="14" t="n">
        <v>12</v>
      </c>
      <c r="B16" s="5" t="s">
        <v>190</v>
      </c>
      <c r="C16" s="5" t="s">
        <v>191</v>
      </c>
      <c r="D16" s="14" t="s">
        <v>166</v>
      </c>
      <c r="E16" s="16" t="n">
        <v>46258.3362151273</v>
      </c>
      <c r="F16" s="17" t="n">
        <v>1</v>
      </c>
      <c r="G16" s="18" t="n">
        <v>0</v>
      </c>
      <c r="H16" s="18" t="n">
        <v>0</v>
      </c>
      <c r="I16" s="18" t="n">
        <v>0</v>
      </c>
      <c r="J16" s="17" t="n">
        <v>1</v>
      </c>
      <c r="K16" s="17" t="n">
        <v>1</v>
      </c>
      <c r="L16" s="17" t="n">
        <v>1</v>
      </c>
      <c r="M16" s="18" t="n">
        <v>0</v>
      </c>
      <c r="N16" s="17" t="n">
        <v>1</v>
      </c>
      <c r="O16" s="17" t="n">
        <v>1</v>
      </c>
      <c r="P16" s="17" t="n">
        <v>1</v>
      </c>
      <c r="Q16" s="17" t="n">
        <v>1</v>
      </c>
      <c r="R16" s="18" t="n">
        <v>0</v>
      </c>
      <c r="S16" s="18" t="n">
        <v>0</v>
      </c>
      <c r="T16" s="18" t="n">
        <v>0</v>
      </c>
      <c r="U16" s="17" t="n">
        <v>1</v>
      </c>
      <c r="V16" s="18" t="n">
        <v>0</v>
      </c>
      <c r="W16" s="17" t="n">
        <v>1</v>
      </c>
      <c r="X16" s="17" t="n">
        <v>1</v>
      </c>
      <c r="Y16" s="17" t="n">
        <v>1</v>
      </c>
      <c r="Z16" s="17" t="n">
        <v>1</v>
      </c>
      <c r="AA16" s="17" t="n">
        <v>1</v>
      </c>
      <c r="AB16" s="17" t="n">
        <v>1</v>
      </c>
      <c r="AC16" s="18" t="n">
        <v>0</v>
      </c>
      <c r="AD16" s="18" t="n">
        <v>0</v>
      </c>
      <c r="AE16" s="19" t="n">
        <f aca="false">SUM(F16:AD16)</f>
        <v>15</v>
      </c>
      <c r="AF16" s="10" t="n">
        <f aca="false">AE16/25</f>
        <v>0.6</v>
      </c>
      <c r="AG16" s="5" t="s">
        <v>179</v>
      </c>
    </row>
    <row r="17" customFormat="false" ht="15" hidden="false" customHeight="false" outlineLevel="0" collapsed="false">
      <c r="A17" s="14" t="n">
        <v>13</v>
      </c>
      <c r="B17" s="5" t="s">
        <v>192</v>
      </c>
      <c r="C17" s="5" t="s">
        <v>193</v>
      </c>
      <c r="D17" s="14" t="s">
        <v>166</v>
      </c>
      <c r="E17" s="16" t="n">
        <v>46258.514917963</v>
      </c>
      <c r="F17" s="17" t="n">
        <v>1</v>
      </c>
      <c r="G17" s="18" t="n">
        <v>0</v>
      </c>
      <c r="H17" s="17" t="n">
        <v>1</v>
      </c>
      <c r="I17" s="17" t="n">
        <v>1</v>
      </c>
      <c r="J17" s="18" t="n">
        <v>0</v>
      </c>
      <c r="K17" s="17" t="n">
        <v>1</v>
      </c>
      <c r="L17" s="17" t="n">
        <v>1</v>
      </c>
      <c r="M17" s="18" t="n">
        <v>0</v>
      </c>
      <c r="N17" s="17" t="n">
        <v>1</v>
      </c>
      <c r="O17" s="17" t="n">
        <v>1</v>
      </c>
      <c r="P17" s="17" t="n">
        <v>1</v>
      </c>
      <c r="Q17" s="17" t="n">
        <v>1</v>
      </c>
      <c r="R17" s="18" t="n">
        <v>0</v>
      </c>
      <c r="S17" s="17" t="n">
        <v>1</v>
      </c>
      <c r="T17" s="18" t="n">
        <v>0</v>
      </c>
      <c r="U17" s="18" t="n">
        <v>0</v>
      </c>
      <c r="V17" s="18" t="n">
        <v>0</v>
      </c>
      <c r="W17" s="17" t="n">
        <v>1</v>
      </c>
      <c r="X17" s="18" t="n">
        <v>0</v>
      </c>
      <c r="Y17" s="18" t="n">
        <v>0</v>
      </c>
      <c r="Z17" s="18" t="n">
        <v>0</v>
      </c>
      <c r="AA17" s="17" t="n">
        <v>1</v>
      </c>
      <c r="AB17" s="17" t="n">
        <v>1</v>
      </c>
      <c r="AC17" s="17" t="n">
        <v>1</v>
      </c>
      <c r="AD17" s="17" t="n">
        <v>1</v>
      </c>
      <c r="AE17" s="19" t="n">
        <f aca="false">SUM(F17:AD17)</f>
        <v>15</v>
      </c>
      <c r="AF17" s="10" t="n">
        <f aca="false">AE17/25</f>
        <v>0.6</v>
      </c>
      <c r="AG17" s="5" t="s">
        <v>179</v>
      </c>
    </row>
    <row r="18" customFormat="false" ht="15" hidden="false" customHeight="false" outlineLevel="0" collapsed="false">
      <c r="A18" s="14" t="n">
        <v>14</v>
      </c>
      <c r="B18" s="5" t="s">
        <v>194</v>
      </c>
      <c r="C18" s="5" t="s">
        <v>195</v>
      </c>
      <c r="D18" s="14" t="s">
        <v>170</v>
      </c>
      <c r="E18" s="16" t="n">
        <v>46255.6935473727</v>
      </c>
      <c r="F18" s="17" t="n">
        <v>1</v>
      </c>
      <c r="G18" s="18" t="n">
        <v>0</v>
      </c>
      <c r="H18" s="18" t="n">
        <v>0</v>
      </c>
      <c r="I18" s="17" t="n">
        <v>1</v>
      </c>
      <c r="J18" s="18" t="n">
        <v>0</v>
      </c>
      <c r="K18" s="17" t="n">
        <v>1</v>
      </c>
      <c r="L18" s="17" t="n">
        <v>1</v>
      </c>
      <c r="M18" s="18" t="n">
        <v>0</v>
      </c>
      <c r="N18" s="17" t="n">
        <v>1</v>
      </c>
      <c r="O18" s="17" t="n">
        <v>1</v>
      </c>
      <c r="P18" s="18" t="n">
        <v>0</v>
      </c>
      <c r="Q18" s="18" t="n">
        <v>0</v>
      </c>
      <c r="R18" s="18" t="n">
        <v>0</v>
      </c>
      <c r="S18" s="18" t="n">
        <v>0</v>
      </c>
      <c r="T18" s="17" t="n">
        <v>1</v>
      </c>
      <c r="U18" s="17" t="n">
        <v>1</v>
      </c>
      <c r="V18" s="18" t="n">
        <v>0</v>
      </c>
      <c r="W18" s="17" t="n">
        <v>1</v>
      </c>
      <c r="X18" s="18" t="n">
        <v>0</v>
      </c>
      <c r="Y18" s="18" t="n">
        <v>0</v>
      </c>
      <c r="Z18" s="17" t="n">
        <v>1</v>
      </c>
      <c r="AA18" s="17" t="n">
        <v>1</v>
      </c>
      <c r="AB18" s="17" t="n">
        <v>1</v>
      </c>
      <c r="AC18" s="17" t="n">
        <v>1</v>
      </c>
      <c r="AD18" s="17" t="n">
        <v>1</v>
      </c>
      <c r="AE18" s="19" t="n">
        <f aca="false">SUM(F18:AD18)</f>
        <v>14</v>
      </c>
      <c r="AF18" s="10" t="n">
        <f aca="false">AE18/25</f>
        <v>0.56</v>
      </c>
      <c r="AG18" s="5" t="s">
        <v>196</v>
      </c>
    </row>
    <row r="19" customFormat="false" ht="15" hidden="false" customHeight="false" outlineLevel="0" collapsed="false">
      <c r="A19" s="14" t="n">
        <v>15</v>
      </c>
      <c r="B19" s="5" t="s">
        <v>197</v>
      </c>
      <c r="C19" s="5" t="s">
        <v>198</v>
      </c>
      <c r="D19" s="14" t="s">
        <v>170</v>
      </c>
      <c r="E19" s="16" t="n">
        <v>46255.7220871181</v>
      </c>
      <c r="F19" s="17" t="n">
        <v>1</v>
      </c>
      <c r="G19" s="18" t="n">
        <v>0</v>
      </c>
      <c r="H19" s="18" t="n">
        <v>0</v>
      </c>
      <c r="I19" s="18" t="n">
        <v>0</v>
      </c>
      <c r="J19" s="17" t="n">
        <v>1</v>
      </c>
      <c r="K19" s="17" t="n">
        <v>1</v>
      </c>
      <c r="L19" s="17" t="n">
        <v>1</v>
      </c>
      <c r="M19" s="17" t="n">
        <v>1</v>
      </c>
      <c r="N19" s="17" t="n">
        <v>1</v>
      </c>
      <c r="O19" s="18" t="n">
        <v>0</v>
      </c>
      <c r="P19" s="18" t="n">
        <v>0</v>
      </c>
      <c r="Q19" s="17" t="n">
        <v>1</v>
      </c>
      <c r="R19" s="18" t="n">
        <v>0</v>
      </c>
      <c r="S19" s="17" t="n">
        <v>1</v>
      </c>
      <c r="T19" s="18" t="n">
        <v>0</v>
      </c>
      <c r="U19" s="17" t="n">
        <v>1</v>
      </c>
      <c r="V19" s="18" t="n">
        <v>0</v>
      </c>
      <c r="W19" s="17" t="n">
        <v>1</v>
      </c>
      <c r="X19" s="18" t="n">
        <v>0</v>
      </c>
      <c r="Y19" s="17" t="n">
        <v>1</v>
      </c>
      <c r="Z19" s="17" t="n">
        <v>1</v>
      </c>
      <c r="AA19" s="18" t="n">
        <v>0</v>
      </c>
      <c r="AB19" s="17" t="n">
        <v>1</v>
      </c>
      <c r="AC19" s="18" t="n">
        <v>0</v>
      </c>
      <c r="AD19" s="17" t="n">
        <v>1</v>
      </c>
      <c r="AE19" s="19" t="n">
        <f aca="false">SUM(F19:AD19)</f>
        <v>14</v>
      </c>
      <c r="AF19" s="10" t="n">
        <f aca="false">AE19/25</f>
        <v>0.56</v>
      </c>
      <c r="AG19" s="5" t="s">
        <v>196</v>
      </c>
    </row>
    <row r="20" customFormat="false" ht="15" hidden="false" customHeight="false" outlineLevel="0" collapsed="false">
      <c r="A20" s="14" t="n">
        <v>16</v>
      </c>
      <c r="B20" s="5" t="s">
        <v>199</v>
      </c>
      <c r="C20" s="5" t="s">
        <v>200</v>
      </c>
      <c r="D20" s="14" t="s">
        <v>166</v>
      </c>
      <c r="E20" s="16" t="n">
        <v>46258.3369603357</v>
      </c>
      <c r="F20" s="18" t="n">
        <v>0</v>
      </c>
      <c r="G20" s="17" t="n">
        <v>1</v>
      </c>
      <c r="H20" s="18" t="n">
        <v>0</v>
      </c>
      <c r="I20" s="17" t="n">
        <v>1</v>
      </c>
      <c r="J20" s="18" t="n">
        <v>0</v>
      </c>
      <c r="K20" s="17" t="n">
        <v>1</v>
      </c>
      <c r="L20" s="18" t="n">
        <v>0</v>
      </c>
      <c r="M20" s="17" t="n">
        <v>1</v>
      </c>
      <c r="N20" s="17" t="n">
        <v>1</v>
      </c>
      <c r="O20" s="18" t="n">
        <v>0</v>
      </c>
      <c r="P20" s="18" t="n">
        <v>0</v>
      </c>
      <c r="Q20" s="17" t="n">
        <v>1</v>
      </c>
      <c r="R20" s="18" t="n">
        <v>0</v>
      </c>
      <c r="S20" s="18" t="n">
        <v>0</v>
      </c>
      <c r="T20" s="17" t="n">
        <v>1</v>
      </c>
      <c r="U20" s="17" t="n">
        <v>1</v>
      </c>
      <c r="V20" s="18" t="n">
        <v>0</v>
      </c>
      <c r="W20" s="17" t="n">
        <v>1</v>
      </c>
      <c r="X20" s="18" t="n">
        <v>0</v>
      </c>
      <c r="Y20" s="17" t="n">
        <v>1</v>
      </c>
      <c r="Z20" s="18" t="n">
        <v>0</v>
      </c>
      <c r="AA20" s="17" t="n">
        <v>1</v>
      </c>
      <c r="AB20" s="17" t="n">
        <v>1</v>
      </c>
      <c r="AC20" s="17" t="n">
        <v>1</v>
      </c>
      <c r="AD20" s="17" t="n">
        <v>1</v>
      </c>
      <c r="AE20" s="19" t="n">
        <f aca="false">SUM(F20:AD20)</f>
        <v>14</v>
      </c>
      <c r="AF20" s="10" t="n">
        <f aca="false">AE20/25</f>
        <v>0.56</v>
      </c>
      <c r="AG20" s="5" t="s">
        <v>196</v>
      </c>
    </row>
    <row r="21" customFormat="false" ht="15" hidden="false" customHeight="false" outlineLevel="0" collapsed="false">
      <c r="A21" s="14" t="n">
        <v>17</v>
      </c>
      <c r="B21" s="5" t="s">
        <v>201</v>
      </c>
      <c r="C21" s="5" t="s">
        <v>202</v>
      </c>
      <c r="D21" s="14" t="s">
        <v>166</v>
      </c>
      <c r="E21" s="16" t="n">
        <v>46257.5863898958</v>
      </c>
      <c r="F21" s="18" t="n">
        <v>0</v>
      </c>
      <c r="G21" s="18" t="n">
        <v>0</v>
      </c>
      <c r="H21" s="18" t="n">
        <v>0</v>
      </c>
      <c r="I21" s="17" t="n">
        <v>1</v>
      </c>
      <c r="J21" s="17" t="n">
        <v>1</v>
      </c>
      <c r="K21" s="18" t="n">
        <v>0</v>
      </c>
      <c r="L21" s="17" t="n">
        <v>1</v>
      </c>
      <c r="M21" s="17" t="n">
        <v>1</v>
      </c>
      <c r="N21" s="17" t="n">
        <v>1</v>
      </c>
      <c r="O21" s="18" t="n">
        <v>0</v>
      </c>
      <c r="P21" s="17" t="n">
        <v>1</v>
      </c>
      <c r="Q21" s="17" t="n">
        <v>1</v>
      </c>
      <c r="R21" s="18" t="n">
        <v>0</v>
      </c>
      <c r="S21" s="18" t="n">
        <v>0</v>
      </c>
      <c r="T21" s="18" t="n">
        <v>0</v>
      </c>
      <c r="U21" s="17" t="n">
        <v>1</v>
      </c>
      <c r="V21" s="18" t="n">
        <v>0</v>
      </c>
      <c r="W21" s="17" t="n">
        <v>1</v>
      </c>
      <c r="X21" s="17" t="n">
        <v>1</v>
      </c>
      <c r="Y21" s="17" t="n">
        <v>1</v>
      </c>
      <c r="Z21" s="18" t="n">
        <v>0</v>
      </c>
      <c r="AA21" s="17" t="n">
        <v>1</v>
      </c>
      <c r="AB21" s="17" t="n">
        <v>1</v>
      </c>
      <c r="AC21" s="18" t="n">
        <v>0</v>
      </c>
      <c r="AD21" s="18" t="n">
        <v>0</v>
      </c>
      <c r="AE21" s="19" t="n">
        <f aca="false">SUM(F21:AD21)</f>
        <v>13</v>
      </c>
      <c r="AF21" s="10" t="n">
        <f aca="false">AE21/25</f>
        <v>0.52</v>
      </c>
      <c r="AG21" s="5" t="s">
        <v>196</v>
      </c>
    </row>
    <row r="22" customFormat="false" ht="15" hidden="false" customHeight="false" outlineLevel="0" collapsed="false">
      <c r="A22" s="14" t="n">
        <v>18</v>
      </c>
      <c r="B22" s="5" t="s">
        <v>203</v>
      </c>
      <c r="C22" s="5" t="s">
        <v>204</v>
      </c>
      <c r="D22" s="14" t="s">
        <v>166</v>
      </c>
      <c r="E22" s="16" t="n">
        <v>46258.3317326389</v>
      </c>
      <c r="F22" s="17" t="n">
        <v>1</v>
      </c>
      <c r="G22" s="18" t="n">
        <v>0</v>
      </c>
      <c r="H22" s="18" t="n">
        <v>0</v>
      </c>
      <c r="I22" s="18" t="n">
        <v>0</v>
      </c>
      <c r="J22" s="18" t="n">
        <v>0</v>
      </c>
      <c r="K22" s="17" t="n">
        <v>1</v>
      </c>
      <c r="L22" s="17" t="n">
        <v>1</v>
      </c>
      <c r="M22" s="17" t="n">
        <v>1</v>
      </c>
      <c r="N22" s="17" t="n">
        <v>1</v>
      </c>
      <c r="O22" s="17" t="n">
        <v>1</v>
      </c>
      <c r="P22" s="18" t="n">
        <v>0</v>
      </c>
      <c r="Q22" s="17" t="n">
        <v>1</v>
      </c>
      <c r="R22" s="18" t="n">
        <v>0</v>
      </c>
      <c r="S22" s="18" t="n">
        <v>0</v>
      </c>
      <c r="T22" s="18" t="n">
        <v>0</v>
      </c>
      <c r="U22" s="18" t="n">
        <v>0</v>
      </c>
      <c r="V22" s="18" t="n">
        <v>0</v>
      </c>
      <c r="W22" s="17" t="n">
        <v>1</v>
      </c>
      <c r="X22" s="18" t="n">
        <v>0</v>
      </c>
      <c r="Y22" s="17" t="n">
        <v>1</v>
      </c>
      <c r="Z22" s="17" t="n">
        <v>1</v>
      </c>
      <c r="AA22" s="17" t="n">
        <v>1</v>
      </c>
      <c r="AB22" s="17" t="n">
        <v>1</v>
      </c>
      <c r="AC22" s="17" t="n">
        <v>1</v>
      </c>
      <c r="AD22" s="18" t="n">
        <v>0</v>
      </c>
      <c r="AE22" s="19" t="n">
        <f aca="false">SUM(F22:AD22)</f>
        <v>13</v>
      </c>
      <c r="AF22" s="10" t="n">
        <f aca="false">AE22/25</f>
        <v>0.52</v>
      </c>
      <c r="AG22" s="5" t="s">
        <v>196</v>
      </c>
    </row>
    <row r="23" customFormat="false" ht="15" hidden="false" customHeight="false" outlineLevel="0" collapsed="false">
      <c r="A23" s="14" t="n">
        <v>19</v>
      </c>
      <c r="B23" s="5" t="s">
        <v>205</v>
      </c>
      <c r="C23" s="5" t="s">
        <v>206</v>
      </c>
      <c r="D23" s="14" t="s">
        <v>170</v>
      </c>
      <c r="E23" s="16" t="n">
        <v>46258.3439161921</v>
      </c>
      <c r="F23" s="18" t="n">
        <v>0</v>
      </c>
      <c r="G23" s="18" t="n">
        <v>0</v>
      </c>
      <c r="H23" s="17" t="n">
        <v>1</v>
      </c>
      <c r="I23" s="18" t="n">
        <v>0</v>
      </c>
      <c r="J23" s="17" t="n">
        <v>1</v>
      </c>
      <c r="K23" s="17" t="n">
        <v>1</v>
      </c>
      <c r="L23" s="18" t="n">
        <v>0</v>
      </c>
      <c r="M23" s="17" t="n">
        <v>1</v>
      </c>
      <c r="N23" s="17" t="n">
        <v>1</v>
      </c>
      <c r="O23" s="17" t="n">
        <v>1</v>
      </c>
      <c r="P23" s="18" t="n">
        <v>0</v>
      </c>
      <c r="Q23" s="18" t="n">
        <v>0</v>
      </c>
      <c r="R23" s="17" t="n">
        <v>1</v>
      </c>
      <c r="S23" s="18" t="n">
        <v>0</v>
      </c>
      <c r="T23" s="18" t="n">
        <v>0</v>
      </c>
      <c r="U23" s="18" t="n">
        <v>0</v>
      </c>
      <c r="V23" s="18" t="n">
        <v>0</v>
      </c>
      <c r="W23" s="17" t="n">
        <v>1</v>
      </c>
      <c r="X23" s="18" t="n">
        <v>0</v>
      </c>
      <c r="Y23" s="17" t="n">
        <v>1</v>
      </c>
      <c r="Z23" s="17" t="n">
        <v>1</v>
      </c>
      <c r="AA23" s="18" t="n">
        <v>0</v>
      </c>
      <c r="AB23" s="17" t="n">
        <v>1</v>
      </c>
      <c r="AC23" s="18" t="n">
        <v>0</v>
      </c>
      <c r="AD23" s="17" t="n">
        <v>1</v>
      </c>
      <c r="AE23" s="19" t="n">
        <f aca="false">SUM(F23:AD23)</f>
        <v>12</v>
      </c>
      <c r="AF23" s="10" t="n">
        <f aca="false">AE23/25</f>
        <v>0.48</v>
      </c>
      <c r="AG23" s="5" t="s">
        <v>196</v>
      </c>
    </row>
    <row r="24" customFormat="false" ht="15" hidden="false" customHeight="false" outlineLevel="0" collapsed="false">
      <c r="A24" s="14" t="n">
        <v>20</v>
      </c>
      <c r="B24" s="5" t="s">
        <v>207</v>
      </c>
      <c r="C24" s="5" t="s">
        <v>183</v>
      </c>
      <c r="D24" s="14" t="s">
        <v>166</v>
      </c>
      <c r="E24" s="16" t="n">
        <v>46256.8918165741</v>
      </c>
      <c r="F24" s="18" t="n">
        <v>0</v>
      </c>
      <c r="G24" s="18" t="n">
        <v>0</v>
      </c>
      <c r="H24" s="18" t="n">
        <v>0</v>
      </c>
      <c r="I24" s="18" t="n">
        <v>0</v>
      </c>
      <c r="J24" s="17" t="n">
        <v>1</v>
      </c>
      <c r="K24" s="17" t="n">
        <v>1</v>
      </c>
      <c r="L24" s="17" t="n">
        <v>1</v>
      </c>
      <c r="M24" s="18" t="n">
        <v>0</v>
      </c>
      <c r="N24" s="17" t="n">
        <v>1</v>
      </c>
      <c r="O24" s="18" t="n">
        <v>0</v>
      </c>
      <c r="P24" s="18" t="n">
        <v>0</v>
      </c>
      <c r="Q24" s="17" t="n">
        <v>1</v>
      </c>
      <c r="R24" s="18" t="n">
        <v>0</v>
      </c>
      <c r="S24" s="18" t="n">
        <v>0</v>
      </c>
      <c r="T24" s="18" t="n">
        <v>0</v>
      </c>
      <c r="U24" s="17" t="n">
        <v>1</v>
      </c>
      <c r="V24" s="18" t="n">
        <v>0</v>
      </c>
      <c r="W24" s="17" t="n">
        <v>1</v>
      </c>
      <c r="X24" s="18" t="n">
        <v>0</v>
      </c>
      <c r="Y24" s="18" t="n">
        <v>0</v>
      </c>
      <c r="Z24" s="17" t="n">
        <v>1</v>
      </c>
      <c r="AA24" s="17" t="n">
        <v>1</v>
      </c>
      <c r="AB24" s="17" t="n">
        <v>1</v>
      </c>
      <c r="AC24" s="17" t="n">
        <v>1</v>
      </c>
      <c r="AD24" s="18" t="n">
        <v>0</v>
      </c>
      <c r="AE24" s="19" t="n">
        <f aca="false">SUM(F24:AD24)</f>
        <v>11</v>
      </c>
      <c r="AF24" s="10" t="n">
        <f aca="false">AE24/25</f>
        <v>0.44</v>
      </c>
      <c r="AG24" s="5" t="s">
        <v>196</v>
      </c>
    </row>
    <row r="25" customFormat="false" ht="15" hidden="false" customHeight="false" outlineLevel="0" collapsed="false">
      <c r="A25" s="14" t="n">
        <v>21</v>
      </c>
      <c r="B25" s="5" t="s">
        <v>208</v>
      </c>
      <c r="C25" s="5" t="s">
        <v>209</v>
      </c>
      <c r="D25" s="14" t="s">
        <v>170</v>
      </c>
      <c r="E25" s="16" t="n">
        <v>46258.3316135995</v>
      </c>
      <c r="F25" s="18" t="n">
        <v>0</v>
      </c>
      <c r="G25" s="18" t="n">
        <v>0</v>
      </c>
      <c r="H25" s="18" t="n">
        <v>0</v>
      </c>
      <c r="I25" s="18" t="n">
        <v>0</v>
      </c>
      <c r="J25" s="17" t="n">
        <v>1</v>
      </c>
      <c r="K25" s="17" t="n">
        <v>1</v>
      </c>
      <c r="L25" s="17" t="n">
        <v>1</v>
      </c>
      <c r="M25" s="17" t="n">
        <v>1</v>
      </c>
      <c r="N25" s="17" t="n">
        <v>1</v>
      </c>
      <c r="O25" s="18" t="n">
        <v>0</v>
      </c>
      <c r="P25" s="18" t="n">
        <v>0</v>
      </c>
      <c r="Q25" s="18" t="n">
        <v>0</v>
      </c>
      <c r="R25" s="18" t="n">
        <v>0</v>
      </c>
      <c r="S25" s="18" t="n">
        <v>0</v>
      </c>
      <c r="T25" s="17" t="n">
        <v>1</v>
      </c>
      <c r="U25" s="17" t="n">
        <v>1</v>
      </c>
      <c r="V25" s="18" t="n">
        <v>0</v>
      </c>
      <c r="W25" s="18" t="n">
        <v>0</v>
      </c>
      <c r="X25" s="18" t="n">
        <v>0</v>
      </c>
      <c r="Y25" s="18" t="n">
        <v>0</v>
      </c>
      <c r="Z25" s="17" t="n">
        <v>1</v>
      </c>
      <c r="AA25" s="17" t="n">
        <v>1</v>
      </c>
      <c r="AB25" s="17" t="n">
        <v>1</v>
      </c>
      <c r="AC25" s="17" t="n">
        <v>1</v>
      </c>
      <c r="AD25" s="18" t="n">
        <v>0</v>
      </c>
      <c r="AE25" s="19" t="n">
        <f aca="false">SUM(F25:AD25)</f>
        <v>11</v>
      </c>
      <c r="AF25" s="10" t="n">
        <f aca="false">AE25/25</f>
        <v>0.44</v>
      </c>
      <c r="AG25" s="5" t="s">
        <v>196</v>
      </c>
    </row>
    <row r="26" customFormat="false" ht="15" hidden="false" customHeight="false" outlineLevel="0" collapsed="false">
      <c r="A26" s="14" t="n">
        <v>22</v>
      </c>
      <c r="B26" s="5" t="s">
        <v>210</v>
      </c>
      <c r="C26" s="5" t="s">
        <v>211</v>
      </c>
      <c r="D26" s="14" t="s">
        <v>170</v>
      </c>
      <c r="E26" s="16" t="n">
        <v>46258.3639029282</v>
      </c>
      <c r="F26" s="18" t="n">
        <v>0</v>
      </c>
      <c r="G26" s="18" t="n">
        <v>0</v>
      </c>
      <c r="H26" s="18" t="n">
        <v>0</v>
      </c>
      <c r="I26" s="18" t="n">
        <v>0</v>
      </c>
      <c r="J26" s="17" t="n">
        <v>1</v>
      </c>
      <c r="K26" s="17" t="n">
        <v>1</v>
      </c>
      <c r="L26" s="17" t="n">
        <v>1</v>
      </c>
      <c r="M26" s="18" t="n">
        <v>0</v>
      </c>
      <c r="N26" s="18" t="n">
        <v>0</v>
      </c>
      <c r="O26" s="18" t="n">
        <v>0</v>
      </c>
      <c r="P26" s="18" t="n">
        <v>0</v>
      </c>
      <c r="Q26" s="18" t="n">
        <v>0</v>
      </c>
      <c r="R26" s="18" t="n">
        <v>0</v>
      </c>
      <c r="S26" s="18" t="n">
        <v>0</v>
      </c>
      <c r="T26" s="18" t="n">
        <v>0</v>
      </c>
      <c r="U26" s="17" t="n">
        <v>1</v>
      </c>
      <c r="V26" s="18" t="n">
        <v>0</v>
      </c>
      <c r="W26" s="17" t="n">
        <v>1</v>
      </c>
      <c r="X26" s="18" t="n">
        <v>0</v>
      </c>
      <c r="Y26" s="18" t="n">
        <v>0</v>
      </c>
      <c r="Z26" s="17" t="n">
        <v>1</v>
      </c>
      <c r="AA26" s="17" t="n">
        <v>1</v>
      </c>
      <c r="AB26" s="17" t="n">
        <v>1</v>
      </c>
      <c r="AC26" s="17" t="n">
        <v>1</v>
      </c>
      <c r="AD26" s="18" t="n">
        <v>0</v>
      </c>
      <c r="AE26" s="19" t="n">
        <f aca="false">SUM(F26:AD26)</f>
        <v>9</v>
      </c>
      <c r="AF26" s="10" t="n">
        <f aca="false">AE26/25</f>
        <v>0.36</v>
      </c>
      <c r="AG26" s="5" t="s">
        <v>212</v>
      </c>
    </row>
    <row r="27" customFormat="false" ht="15" hidden="false" customHeight="false" outlineLevel="0" collapsed="false">
      <c r="A27" s="14" t="n">
        <v>23</v>
      </c>
      <c r="B27" s="5" t="s">
        <v>213</v>
      </c>
      <c r="C27" s="5" t="s">
        <v>214</v>
      </c>
      <c r="D27" s="14" t="s">
        <v>170</v>
      </c>
      <c r="E27" s="16" t="n">
        <v>46258.3419057176</v>
      </c>
      <c r="F27" s="18" t="n">
        <v>0</v>
      </c>
      <c r="G27" s="18" t="n">
        <v>0</v>
      </c>
      <c r="H27" s="17" t="n">
        <v>1</v>
      </c>
      <c r="I27" s="17" t="n">
        <v>1</v>
      </c>
      <c r="J27" s="18" t="n">
        <v>0</v>
      </c>
      <c r="K27" s="18" t="n">
        <v>0</v>
      </c>
      <c r="L27" s="18" t="n">
        <v>0</v>
      </c>
      <c r="M27" s="18" t="n">
        <v>0</v>
      </c>
      <c r="N27" s="18" t="n">
        <v>0</v>
      </c>
      <c r="O27" s="17" t="n">
        <v>1</v>
      </c>
      <c r="P27" s="17" t="n">
        <v>1</v>
      </c>
      <c r="Q27" s="18" t="n">
        <v>0</v>
      </c>
      <c r="R27" s="17" t="n">
        <v>1</v>
      </c>
      <c r="S27" s="18" t="n">
        <v>0</v>
      </c>
      <c r="T27" s="18" t="n">
        <v>0</v>
      </c>
      <c r="U27" s="18" t="n">
        <v>0</v>
      </c>
      <c r="V27" s="18" t="n">
        <v>0</v>
      </c>
      <c r="W27" s="18" t="n">
        <v>0</v>
      </c>
      <c r="X27" s="17" t="n">
        <v>1</v>
      </c>
      <c r="Y27" s="17" t="n">
        <v>1</v>
      </c>
      <c r="Z27" s="18" t="n">
        <v>0</v>
      </c>
      <c r="AA27" s="18" t="n">
        <v>0</v>
      </c>
      <c r="AB27" s="17" t="n">
        <v>1</v>
      </c>
      <c r="AC27" s="18" t="n">
        <v>0</v>
      </c>
      <c r="AD27" s="18" t="n">
        <v>0</v>
      </c>
      <c r="AE27" s="19" t="n">
        <f aca="false">SUM(F27:AD27)</f>
        <v>8</v>
      </c>
      <c r="AF27" s="10" t="n">
        <f aca="false">AE27/25</f>
        <v>0.32</v>
      </c>
      <c r="AG27" s="5" t="s">
        <v>212</v>
      </c>
    </row>
    <row r="28" customFormat="false" ht="15" hidden="false" customHeight="false" outlineLevel="0" collapsed="false">
      <c r="A28" s="14" t="n">
        <v>24</v>
      </c>
      <c r="B28" s="5" t="s">
        <v>215</v>
      </c>
      <c r="C28" s="5" t="s">
        <v>216</v>
      </c>
      <c r="D28" s="14" t="s">
        <v>166</v>
      </c>
      <c r="E28" s="16" t="n">
        <v>46258.345600544</v>
      </c>
      <c r="F28" s="18" t="n">
        <v>0</v>
      </c>
      <c r="G28" s="18" t="n">
        <v>0</v>
      </c>
      <c r="H28" s="18" t="n">
        <v>0</v>
      </c>
      <c r="I28" s="17" t="n">
        <v>1</v>
      </c>
      <c r="J28" s="18" t="n">
        <v>0</v>
      </c>
      <c r="K28" s="18" t="n">
        <v>0</v>
      </c>
      <c r="L28" s="17" t="n">
        <v>1</v>
      </c>
      <c r="M28" s="18" t="n">
        <v>0</v>
      </c>
      <c r="N28" s="17" t="n">
        <v>1</v>
      </c>
      <c r="O28" s="17" t="n">
        <v>1</v>
      </c>
      <c r="P28" s="18" t="n">
        <v>0</v>
      </c>
      <c r="Q28" s="17" t="n">
        <v>1</v>
      </c>
      <c r="R28" s="18" t="n">
        <v>0</v>
      </c>
      <c r="S28" s="18" t="n">
        <v>0</v>
      </c>
      <c r="T28" s="18" t="n">
        <v>0</v>
      </c>
      <c r="U28" s="17" t="n">
        <v>1</v>
      </c>
      <c r="V28" s="18" t="n">
        <v>0</v>
      </c>
      <c r="W28" s="18" t="n">
        <v>0</v>
      </c>
      <c r="X28" s="18" t="n">
        <v>0</v>
      </c>
      <c r="Y28" s="18" t="n">
        <v>0</v>
      </c>
      <c r="Z28" s="18" t="n">
        <v>0</v>
      </c>
      <c r="AA28" s="17" t="n">
        <v>1</v>
      </c>
      <c r="AB28" s="18" t="n">
        <v>0</v>
      </c>
      <c r="AC28" s="17" t="n">
        <v>1</v>
      </c>
      <c r="AD28" s="18" t="n">
        <v>0</v>
      </c>
      <c r="AE28" s="19" t="n">
        <f aca="false">SUM(F28:AD28)</f>
        <v>8</v>
      </c>
      <c r="AF28" s="10" t="n">
        <f aca="false">AE28/25</f>
        <v>0.32</v>
      </c>
      <c r="AG28" s="5" t="s">
        <v>212</v>
      </c>
    </row>
    <row r="29" customFormat="false" ht="15" hidden="false" customHeight="false" outlineLevel="0" collapsed="false">
      <c r="A29" s="14" t="n">
        <v>25</v>
      </c>
      <c r="B29" s="5" t="s">
        <v>217</v>
      </c>
      <c r="C29" s="5" t="s">
        <v>218</v>
      </c>
      <c r="D29" s="14" t="s">
        <v>166</v>
      </c>
      <c r="E29" s="16" t="n">
        <v>46258.3384582523</v>
      </c>
      <c r="F29" s="17" t="n">
        <v>1</v>
      </c>
      <c r="G29" s="18" t="n">
        <v>0</v>
      </c>
      <c r="H29" s="18" t="n">
        <v>0</v>
      </c>
      <c r="I29" s="18" t="n">
        <v>0</v>
      </c>
      <c r="J29" s="18" t="n">
        <v>0</v>
      </c>
      <c r="K29" s="18" t="n">
        <v>0</v>
      </c>
      <c r="L29" s="18" t="n">
        <v>0</v>
      </c>
      <c r="M29" s="18" t="n">
        <v>0</v>
      </c>
      <c r="N29" s="17" t="n">
        <v>1</v>
      </c>
      <c r="O29" s="17" t="n">
        <v>1</v>
      </c>
      <c r="P29" s="18" t="n">
        <v>0</v>
      </c>
      <c r="Q29" s="18" t="n">
        <v>0</v>
      </c>
      <c r="R29" s="18" t="n">
        <v>0</v>
      </c>
      <c r="S29" s="18" t="n">
        <v>0</v>
      </c>
      <c r="T29" s="17" t="n">
        <v>1</v>
      </c>
      <c r="U29" s="17" t="n">
        <v>1</v>
      </c>
      <c r="V29" s="18" t="n">
        <v>0</v>
      </c>
      <c r="W29" s="18" t="n">
        <v>0</v>
      </c>
      <c r="X29" s="18" t="n">
        <v>0</v>
      </c>
      <c r="Y29" s="18" t="n">
        <v>0</v>
      </c>
      <c r="Z29" s="18" t="n">
        <v>0</v>
      </c>
      <c r="AA29" s="17" t="n">
        <v>1</v>
      </c>
      <c r="AB29" s="17" t="n">
        <v>1</v>
      </c>
      <c r="AC29" s="18" t="n">
        <v>0</v>
      </c>
      <c r="AD29" s="18" t="n">
        <v>0</v>
      </c>
      <c r="AE29" s="19" t="n">
        <f aca="false">SUM(F29:AD29)</f>
        <v>7</v>
      </c>
      <c r="AF29" s="10" t="n">
        <f aca="false">AE29/25</f>
        <v>0.28</v>
      </c>
      <c r="AG29" s="5" t="s">
        <v>212</v>
      </c>
    </row>
    <row r="30" customFormat="false" ht="15" hidden="false" customHeight="false" outlineLevel="0" collapsed="false">
      <c r="A30" s="14" t="n">
        <v>26</v>
      </c>
      <c r="B30" s="5" t="s">
        <v>219</v>
      </c>
      <c r="C30" s="5" t="s">
        <v>220</v>
      </c>
      <c r="D30" s="14" t="s">
        <v>170</v>
      </c>
      <c r="E30" s="16" t="n">
        <v>46255.7049968056</v>
      </c>
      <c r="F30" s="18" t="n">
        <v>0</v>
      </c>
      <c r="G30" s="18" t="n">
        <v>0</v>
      </c>
      <c r="H30" s="18" t="n">
        <v>0</v>
      </c>
      <c r="I30" s="18" t="n">
        <v>0</v>
      </c>
      <c r="J30" s="18" t="n">
        <v>0</v>
      </c>
      <c r="K30" s="17" t="n">
        <v>1</v>
      </c>
      <c r="L30" s="18" t="n">
        <v>0</v>
      </c>
      <c r="M30" s="18" t="n">
        <v>0</v>
      </c>
      <c r="N30" s="18" t="n">
        <v>0</v>
      </c>
      <c r="O30" s="18" t="n">
        <v>0</v>
      </c>
      <c r="P30" s="18" t="n">
        <v>0</v>
      </c>
      <c r="Q30" s="18" t="n">
        <v>0</v>
      </c>
      <c r="R30" s="18" t="n">
        <v>0</v>
      </c>
      <c r="S30" s="18" t="n">
        <v>0</v>
      </c>
      <c r="T30" s="17" t="n">
        <v>1</v>
      </c>
      <c r="U30" s="17" t="n">
        <v>1</v>
      </c>
      <c r="V30" s="18" t="n">
        <v>0</v>
      </c>
      <c r="W30" s="18" t="n">
        <v>0</v>
      </c>
      <c r="X30" s="18" t="n">
        <v>0</v>
      </c>
      <c r="Y30" s="18" t="n">
        <v>0</v>
      </c>
      <c r="Z30" s="17" t="n">
        <v>1</v>
      </c>
      <c r="AA30" s="17" t="n">
        <v>1</v>
      </c>
      <c r="AB30" s="17" t="n">
        <v>1</v>
      </c>
      <c r="AC30" s="18" t="n">
        <v>0</v>
      </c>
      <c r="AD30" s="18" t="n">
        <v>0</v>
      </c>
      <c r="AE30" s="19" t="n">
        <f aca="false">SUM(F30:AD30)</f>
        <v>6</v>
      </c>
      <c r="AF30" s="10" t="n">
        <f aca="false">AE30/25</f>
        <v>0.24</v>
      </c>
      <c r="AG30" s="5" t="s">
        <v>212</v>
      </c>
    </row>
    <row r="31" customFormat="false" ht="15" hidden="false" customHeight="false" outlineLevel="0" collapsed="false">
      <c r="A31" s="14" t="n">
        <v>27</v>
      </c>
      <c r="B31" s="5" t="s">
        <v>221</v>
      </c>
      <c r="C31" s="5" t="s">
        <v>222</v>
      </c>
      <c r="D31" s="14" t="s">
        <v>166</v>
      </c>
      <c r="E31" s="16" t="n">
        <v>46258.3316730556</v>
      </c>
      <c r="F31" s="18" t="n">
        <v>0</v>
      </c>
      <c r="G31" s="18" t="n">
        <v>0</v>
      </c>
      <c r="H31" s="18" t="n">
        <v>0</v>
      </c>
      <c r="I31" s="18" t="n">
        <v>0</v>
      </c>
      <c r="J31" s="18" t="n">
        <v>0</v>
      </c>
      <c r="K31" s="18" t="n">
        <v>0</v>
      </c>
      <c r="L31" s="18" t="n">
        <v>0</v>
      </c>
      <c r="M31" s="17" t="n">
        <v>1</v>
      </c>
      <c r="N31" s="18" t="n">
        <v>0</v>
      </c>
      <c r="O31" s="18" t="n">
        <v>0</v>
      </c>
      <c r="P31" s="18" t="n">
        <v>0</v>
      </c>
      <c r="Q31" s="17" t="n">
        <v>1</v>
      </c>
      <c r="R31" s="18" t="n">
        <v>0</v>
      </c>
      <c r="S31" s="18" t="n">
        <v>0</v>
      </c>
      <c r="T31" s="17" t="n">
        <v>1</v>
      </c>
      <c r="U31" s="17" t="n">
        <v>1</v>
      </c>
      <c r="V31" s="18" t="n">
        <v>0</v>
      </c>
      <c r="W31" s="18" t="n">
        <v>0</v>
      </c>
      <c r="X31" s="18" t="n">
        <v>0</v>
      </c>
      <c r="Y31" s="18" t="n">
        <v>0</v>
      </c>
      <c r="Z31" s="18" t="n">
        <v>0</v>
      </c>
      <c r="AA31" s="18" t="n">
        <v>0</v>
      </c>
      <c r="AB31" s="17" t="n">
        <v>1</v>
      </c>
      <c r="AC31" s="17" t="n">
        <v>1</v>
      </c>
      <c r="AD31" s="18" t="n">
        <v>0</v>
      </c>
      <c r="AE31" s="19" t="n">
        <f aca="false">SUM(F31:AD31)</f>
        <v>6</v>
      </c>
      <c r="AF31" s="10" t="n">
        <f aca="false">AE31/25</f>
        <v>0.24</v>
      </c>
      <c r="AG31" s="5" t="s">
        <v>212</v>
      </c>
    </row>
    <row r="32" customFormat="false" ht="15" hidden="false" customHeight="false" outlineLevel="0" collapsed="false">
      <c r="A32" s="14" t="n">
        <v>28</v>
      </c>
      <c r="B32" s="5" t="s">
        <v>223</v>
      </c>
      <c r="C32" s="5" t="s">
        <v>218</v>
      </c>
      <c r="D32" s="14" t="s">
        <v>170</v>
      </c>
      <c r="E32" s="16" t="n">
        <v>46258.3318771991</v>
      </c>
      <c r="F32" s="17" t="n">
        <v>1</v>
      </c>
      <c r="G32" s="18" t="n">
        <v>0</v>
      </c>
      <c r="H32" s="18" t="n">
        <v>0</v>
      </c>
      <c r="I32" s="18" t="n">
        <v>0</v>
      </c>
      <c r="J32" s="18" t="n">
        <v>0</v>
      </c>
      <c r="K32" s="18" t="n">
        <v>0</v>
      </c>
      <c r="L32" s="18" t="n">
        <v>0</v>
      </c>
      <c r="M32" s="18" t="n">
        <v>0</v>
      </c>
      <c r="N32" s="18" t="n">
        <v>0</v>
      </c>
      <c r="O32" s="18" t="n">
        <v>0</v>
      </c>
      <c r="P32" s="18" t="n">
        <v>0</v>
      </c>
      <c r="Q32" s="18" t="n">
        <v>0</v>
      </c>
      <c r="R32" s="18" t="n">
        <v>0</v>
      </c>
      <c r="S32" s="17" t="n">
        <v>1</v>
      </c>
      <c r="T32" s="18" t="n">
        <v>0</v>
      </c>
      <c r="U32" s="18" t="n">
        <v>0</v>
      </c>
      <c r="V32" s="18" t="n">
        <v>0</v>
      </c>
      <c r="W32" s="18" t="n">
        <v>0</v>
      </c>
      <c r="X32" s="18" t="n">
        <v>0</v>
      </c>
      <c r="Y32" s="18" t="n">
        <v>0</v>
      </c>
      <c r="Z32" s="18" t="n">
        <v>0</v>
      </c>
      <c r="AA32" s="18" t="n">
        <v>0</v>
      </c>
      <c r="AB32" s="17" t="n">
        <v>1</v>
      </c>
      <c r="AC32" s="17" t="n">
        <v>1</v>
      </c>
      <c r="AD32" s="18" t="n">
        <v>0</v>
      </c>
      <c r="AE32" s="19" t="n">
        <f aca="false">SUM(F32:AD32)</f>
        <v>4</v>
      </c>
      <c r="AF32" s="10" t="n">
        <f aca="false">AE32/25</f>
        <v>0.16</v>
      </c>
      <c r="AG32" s="5" t="s">
        <v>212</v>
      </c>
    </row>
    <row r="34" customFormat="false" ht="15" hidden="false" customHeight="false" outlineLevel="0" collapsed="false">
      <c r="B34" s="20" t="s">
        <v>224</v>
      </c>
      <c r="F34" s="21" t="n">
        <f aca="false">AVERAGE(F5:F32)</f>
        <v>0.642857142857143</v>
      </c>
      <c r="G34" s="21" t="n">
        <f aca="false">AVERAGE(G5:G32)</f>
        <v>0.25</v>
      </c>
      <c r="H34" s="21" t="n">
        <f aca="false">AVERAGE(H5:H32)</f>
        <v>0.285714285714286</v>
      </c>
      <c r="I34" s="21" t="n">
        <f aca="false">AVERAGE(I5:I32)</f>
        <v>0.535714285714286</v>
      </c>
      <c r="J34" s="21" t="n">
        <f aca="false">AVERAGE(J5:J32)</f>
        <v>0.571428571428571</v>
      </c>
      <c r="K34" s="21" t="n">
        <f aca="false">AVERAGE(K5:K32)</f>
        <v>0.785714285714286</v>
      </c>
      <c r="L34" s="21" t="n">
        <f aca="false">AVERAGE(L5:L32)</f>
        <v>0.678571428571429</v>
      </c>
      <c r="M34" s="21" t="n">
        <f aca="false">AVERAGE(M5:M32)</f>
        <v>0.428571428571429</v>
      </c>
      <c r="N34" s="21" t="n">
        <f aca="false">AVERAGE(N5:N32)</f>
        <v>0.821428571428571</v>
      </c>
      <c r="O34" s="21" t="n">
        <f aca="false">AVERAGE(O5:O32)</f>
        <v>0.678571428571429</v>
      </c>
      <c r="P34" s="21" t="n">
        <f aca="false">AVERAGE(P5:P32)</f>
        <v>0.5</v>
      </c>
      <c r="Q34" s="21" t="n">
        <f aca="false">AVERAGE(Q5:Q32)</f>
        <v>0.678571428571429</v>
      </c>
      <c r="R34" s="21" t="n">
        <f aca="false">AVERAGE(R5:R32)</f>
        <v>0.321428571428571</v>
      </c>
      <c r="S34" s="21" t="n">
        <f aca="false">AVERAGE(S5:S32)</f>
        <v>0.357142857142857</v>
      </c>
      <c r="T34" s="21" t="n">
        <f aca="false">AVERAGE(T5:T32)</f>
        <v>0.5</v>
      </c>
      <c r="U34" s="21" t="n">
        <f aca="false">AVERAGE(U5:U32)</f>
        <v>0.75</v>
      </c>
      <c r="V34" s="21" t="n">
        <f aca="false">AVERAGE(V5:V32)</f>
        <v>0.142857142857143</v>
      </c>
      <c r="W34" s="21" t="n">
        <f aca="false">AVERAGE(W5:W32)</f>
        <v>0.642857142857143</v>
      </c>
      <c r="X34" s="21" t="n">
        <f aca="false">AVERAGE(X5:X32)</f>
        <v>0.428571428571429</v>
      </c>
      <c r="Y34" s="21" t="n">
        <f aca="false">AVERAGE(Y5:Y32)</f>
        <v>0.571428571428571</v>
      </c>
      <c r="Z34" s="21" t="n">
        <f aca="false">AVERAGE(Z5:Z32)</f>
        <v>0.642857142857143</v>
      </c>
      <c r="AA34" s="21" t="n">
        <f aca="false">AVERAGE(AA5:AA32)</f>
        <v>0.821428571428571</v>
      </c>
      <c r="AB34" s="21" t="n">
        <f aca="false">AVERAGE(AB5:AB32)</f>
        <v>0.928571428571429</v>
      </c>
      <c r="AC34" s="21" t="n">
        <f aca="false">AVERAGE(AC5:AC32)</f>
        <v>0.642857142857143</v>
      </c>
      <c r="AD34" s="21" t="n">
        <f aca="false">AVERAGE(AD5:AD32)</f>
        <v>0.428571428571429</v>
      </c>
      <c r="AE34" s="22" t="n">
        <f aca="false">AVERAGE(AE5:AE32)</f>
        <v>14.0357142857143</v>
      </c>
      <c r="AF34" s="23" t="n">
        <f aca="false">AE34/25</f>
        <v>0.561428571428572</v>
      </c>
    </row>
    <row r="35" customFormat="false" ht="15" hidden="false" customHeight="false" outlineLevel="0" collapsed="false">
      <c r="B35" s="20" t="s">
        <v>225</v>
      </c>
      <c r="AE35" s="24" t="n">
        <f aca="false">MAX(AE5:AE32)</f>
        <v>23</v>
      </c>
    </row>
    <row r="36" customFormat="false" ht="15" hidden="false" customHeight="false" outlineLevel="0" collapsed="false">
      <c r="B36" s="20" t="s">
        <v>226</v>
      </c>
      <c r="AE36" s="24" t="n">
        <f aca="false">MIN(AE5:AE32)</f>
        <v>4</v>
      </c>
    </row>
    <row r="37" customFormat="false" ht="15" hidden="false" customHeight="false" outlineLevel="0" collapsed="false">
      <c r="B37" s="20" t="s">
        <v>10</v>
      </c>
      <c r="AE37" s="22" t="n">
        <f aca="false">MEDIAN(AE5:AE32)</f>
        <v>14</v>
      </c>
    </row>
    <row r="38" customFormat="false" ht="15" hidden="false" customHeight="false" outlineLevel="0" collapsed="false">
      <c r="B38" s="20" t="s">
        <v>13</v>
      </c>
      <c r="AE38" s="22" t="n">
        <f aca="false">STDEV(AE5:AE32)</f>
        <v>5.40563589884664</v>
      </c>
    </row>
    <row r="39" customFormat="false" ht="15" hidden="false" customHeight="false" outlineLevel="0" collapsed="false">
      <c r="B39" s="20" t="s">
        <v>227</v>
      </c>
      <c r="AE39" s="24" t="n">
        <f aca="false">COUNT(AE5:AE32)</f>
        <v>28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G5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5" ySplit="4" topLeftCell="F5" activePane="bottomRight" state="frozen"/>
      <selection pane="topLeft" activeCell="A1" activeCellId="0" sqref="A1"/>
      <selection pane="topRight" activeCell="F1" activeCellId="0" sqref="F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28"/>
    <col collapsed="false" customWidth="true" hidden="false" outlineLevel="0" max="3" min="3" style="0" width="14"/>
    <col collapsed="false" customWidth="true" hidden="false" outlineLevel="0" max="4" min="4" style="0" width="10"/>
    <col collapsed="false" customWidth="true" hidden="false" outlineLevel="0" max="5" min="5" style="0" width="18"/>
    <col collapsed="false" customWidth="true" hidden="false" outlineLevel="0" max="30" min="6" style="0" width="4"/>
    <col collapsed="false" customWidth="true" hidden="false" outlineLevel="0" max="31" min="31" style="0" width="11"/>
    <col collapsed="false" customWidth="true" hidden="false" outlineLevel="0" max="32" min="32" style="0" width="10"/>
    <col collapsed="false" customWidth="true" hidden="false" outlineLevel="0" max="33" min="33" style="0" width="20"/>
  </cols>
  <sheetData>
    <row r="1" customFormat="false" ht="17.15" hidden="false" customHeight="false" outlineLevel="0" collapsed="false">
      <c r="A1" s="1" t="s">
        <v>228</v>
      </c>
    </row>
    <row r="2" customFormat="false" ht="15" hidden="false" customHeight="false" outlineLevel="0" collapsed="false">
      <c r="A2" s="2" t="s">
        <v>130</v>
      </c>
    </row>
    <row r="4" customFormat="false" ht="30" hidden="false" customHeight="true" outlineLevel="0" collapsed="false">
      <c r="A4" s="4" t="s">
        <v>131</v>
      </c>
      <c r="B4" s="4" t="s">
        <v>132</v>
      </c>
      <c r="C4" s="4" t="s">
        <v>133</v>
      </c>
      <c r="D4" s="4" t="s">
        <v>134</v>
      </c>
      <c r="E4" s="4" t="s">
        <v>135</v>
      </c>
      <c r="F4" s="4" t="s">
        <v>136</v>
      </c>
      <c r="G4" s="4" t="s">
        <v>137</v>
      </c>
      <c r="H4" s="4" t="s">
        <v>138</v>
      </c>
      <c r="I4" s="4" t="s">
        <v>139</v>
      </c>
      <c r="J4" s="4" t="s">
        <v>140</v>
      </c>
      <c r="K4" s="4" t="s">
        <v>141</v>
      </c>
      <c r="L4" s="4" t="s">
        <v>142</v>
      </c>
      <c r="M4" s="4" t="s">
        <v>143</v>
      </c>
      <c r="N4" s="4" t="s">
        <v>144</v>
      </c>
      <c r="O4" s="4" t="s">
        <v>145</v>
      </c>
      <c r="P4" s="4" t="s">
        <v>146</v>
      </c>
      <c r="Q4" s="4" t="s">
        <v>147</v>
      </c>
      <c r="R4" s="4" t="s">
        <v>148</v>
      </c>
      <c r="S4" s="4" t="s">
        <v>149</v>
      </c>
      <c r="T4" s="4" t="s">
        <v>150</v>
      </c>
      <c r="U4" s="4" t="s">
        <v>151</v>
      </c>
      <c r="V4" s="4" t="s">
        <v>152</v>
      </c>
      <c r="W4" s="4" t="s">
        <v>153</v>
      </c>
      <c r="X4" s="4" t="s">
        <v>154</v>
      </c>
      <c r="Y4" s="4" t="s">
        <v>155</v>
      </c>
      <c r="Z4" s="4" t="s">
        <v>156</v>
      </c>
      <c r="AA4" s="4" t="s">
        <v>157</v>
      </c>
      <c r="AB4" s="4" t="s">
        <v>158</v>
      </c>
      <c r="AC4" s="4" t="s">
        <v>159</v>
      </c>
      <c r="AD4" s="4" t="s">
        <v>160</v>
      </c>
      <c r="AE4" s="4" t="s">
        <v>161</v>
      </c>
      <c r="AF4" s="4" t="s">
        <v>162</v>
      </c>
      <c r="AG4" s="4" t="s">
        <v>163</v>
      </c>
    </row>
    <row r="5" customFormat="false" ht="15" hidden="false" customHeight="false" outlineLevel="0" collapsed="false">
      <c r="A5" s="14" t="n">
        <v>1</v>
      </c>
      <c r="B5" s="5" t="s">
        <v>229</v>
      </c>
      <c r="C5" s="5" t="s">
        <v>230</v>
      </c>
      <c r="D5" s="14" t="s">
        <v>170</v>
      </c>
      <c r="E5" s="16" t="n">
        <v>46259.6201223148</v>
      </c>
      <c r="F5" s="17" t="n">
        <v>1</v>
      </c>
      <c r="G5" s="17" t="n">
        <v>1</v>
      </c>
      <c r="H5" s="17" t="n">
        <v>1</v>
      </c>
      <c r="I5" s="17" t="n">
        <v>1</v>
      </c>
      <c r="J5" s="17" t="n">
        <v>1</v>
      </c>
      <c r="K5" s="17" t="n">
        <v>1</v>
      </c>
      <c r="L5" s="17" t="n">
        <v>1</v>
      </c>
      <c r="M5" s="17" t="n">
        <v>1</v>
      </c>
      <c r="N5" s="17" t="n">
        <v>1</v>
      </c>
      <c r="O5" s="17" t="n">
        <v>1</v>
      </c>
      <c r="P5" s="17" t="n">
        <v>1</v>
      </c>
      <c r="Q5" s="17" t="n">
        <v>1</v>
      </c>
      <c r="R5" s="17" t="n">
        <v>1</v>
      </c>
      <c r="S5" s="17" t="n">
        <v>1</v>
      </c>
      <c r="T5" s="17" t="n">
        <v>1</v>
      </c>
      <c r="U5" s="17" t="n">
        <v>1</v>
      </c>
      <c r="V5" s="17" t="n">
        <v>1</v>
      </c>
      <c r="W5" s="17" t="n">
        <v>1</v>
      </c>
      <c r="X5" s="17" t="n">
        <v>1</v>
      </c>
      <c r="Y5" s="17" t="n">
        <v>1</v>
      </c>
      <c r="Z5" s="17" t="n">
        <v>1</v>
      </c>
      <c r="AA5" s="17" t="n">
        <v>1</v>
      </c>
      <c r="AB5" s="17" t="n">
        <v>1</v>
      </c>
      <c r="AC5" s="17" t="n">
        <v>1</v>
      </c>
      <c r="AD5" s="17" t="n">
        <v>1</v>
      </c>
      <c r="AE5" s="19" t="n">
        <f aca="false">SUM(F5:AD5)</f>
        <v>25</v>
      </c>
      <c r="AF5" s="10" t="n">
        <f aca="false">AE5/25</f>
        <v>1</v>
      </c>
      <c r="AG5" s="5" t="s">
        <v>167</v>
      </c>
    </row>
    <row r="6" customFormat="false" ht="15" hidden="false" customHeight="false" outlineLevel="0" collapsed="false">
      <c r="A6" s="14" t="n">
        <v>2</v>
      </c>
      <c r="B6" s="5" t="s">
        <v>231</v>
      </c>
      <c r="C6" s="5" t="s">
        <v>232</v>
      </c>
      <c r="D6" s="14" t="s">
        <v>170</v>
      </c>
      <c r="E6" s="16" t="n">
        <v>46259.6085407407</v>
      </c>
      <c r="F6" s="17" t="n">
        <v>1</v>
      </c>
      <c r="G6" s="17" t="n">
        <v>1</v>
      </c>
      <c r="H6" s="17" t="n">
        <v>1</v>
      </c>
      <c r="I6" s="17" t="n">
        <v>1</v>
      </c>
      <c r="J6" s="17" t="n">
        <v>1</v>
      </c>
      <c r="K6" s="17" t="n">
        <v>1</v>
      </c>
      <c r="L6" s="17" t="n">
        <v>1</v>
      </c>
      <c r="M6" s="18" t="n">
        <v>0</v>
      </c>
      <c r="N6" s="17" t="n">
        <v>1</v>
      </c>
      <c r="O6" s="17" t="n">
        <v>1</v>
      </c>
      <c r="P6" s="17" t="n">
        <v>1</v>
      </c>
      <c r="Q6" s="17" t="n">
        <v>1</v>
      </c>
      <c r="R6" s="17" t="n">
        <v>1</v>
      </c>
      <c r="S6" s="17" t="n">
        <v>1</v>
      </c>
      <c r="T6" s="17" t="n">
        <v>1</v>
      </c>
      <c r="U6" s="17" t="n">
        <v>1</v>
      </c>
      <c r="V6" s="17" t="n">
        <v>1</v>
      </c>
      <c r="W6" s="17" t="n">
        <v>1</v>
      </c>
      <c r="X6" s="17" t="n">
        <v>1</v>
      </c>
      <c r="Y6" s="17" t="n">
        <v>1</v>
      </c>
      <c r="Z6" s="17" t="n">
        <v>1</v>
      </c>
      <c r="AA6" s="17" t="n">
        <v>1</v>
      </c>
      <c r="AB6" s="17" t="n">
        <v>1</v>
      </c>
      <c r="AC6" s="17" t="n">
        <v>1</v>
      </c>
      <c r="AD6" s="17" t="n">
        <v>1</v>
      </c>
      <c r="AE6" s="19" t="n">
        <f aca="false">SUM(F6:AD6)</f>
        <v>24</v>
      </c>
      <c r="AF6" s="10" t="n">
        <f aca="false">AE6/25</f>
        <v>0.96</v>
      </c>
      <c r="AG6" s="5" t="s">
        <v>167</v>
      </c>
    </row>
    <row r="7" customFormat="false" ht="15" hidden="false" customHeight="false" outlineLevel="0" collapsed="false">
      <c r="A7" s="14" t="n">
        <v>3</v>
      </c>
      <c r="B7" s="5" t="s">
        <v>233</v>
      </c>
      <c r="C7" s="5" t="s">
        <v>234</v>
      </c>
      <c r="D7" s="14" t="s">
        <v>170</v>
      </c>
      <c r="E7" s="16" t="n">
        <v>46259.6101391551</v>
      </c>
      <c r="F7" s="17" t="n">
        <v>1</v>
      </c>
      <c r="G7" s="18" t="n">
        <v>0</v>
      </c>
      <c r="H7" s="17" t="n">
        <v>1</v>
      </c>
      <c r="I7" s="17" t="n">
        <v>1</v>
      </c>
      <c r="J7" s="17" t="n">
        <v>1</v>
      </c>
      <c r="K7" s="17" t="n">
        <v>1</v>
      </c>
      <c r="L7" s="17" t="n">
        <v>1</v>
      </c>
      <c r="M7" s="17" t="n">
        <v>1</v>
      </c>
      <c r="N7" s="17" t="n">
        <v>1</v>
      </c>
      <c r="O7" s="17" t="n">
        <v>1</v>
      </c>
      <c r="P7" s="17" t="n">
        <v>1</v>
      </c>
      <c r="Q7" s="17" t="n">
        <v>1</v>
      </c>
      <c r="R7" s="17" t="n">
        <v>1</v>
      </c>
      <c r="S7" s="17" t="n">
        <v>1</v>
      </c>
      <c r="T7" s="17" t="n">
        <v>1</v>
      </c>
      <c r="U7" s="17" t="n">
        <v>1</v>
      </c>
      <c r="V7" s="17" t="n">
        <v>1</v>
      </c>
      <c r="W7" s="17" t="n">
        <v>1</v>
      </c>
      <c r="X7" s="17" t="n">
        <v>1</v>
      </c>
      <c r="Y7" s="17" t="n">
        <v>1</v>
      </c>
      <c r="Z7" s="17" t="n">
        <v>1</v>
      </c>
      <c r="AA7" s="17" t="n">
        <v>1</v>
      </c>
      <c r="AB7" s="17" t="n">
        <v>1</v>
      </c>
      <c r="AC7" s="17" t="n">
        <v>1</v>
      </c>
      <c r="AD7" s="17" t="n">
        <v>1</v>
      </c>
      <c r="AE7" s="19" t="n">
        <f aca="false">SUM(F7:AD7)</f>
        <v>24</v>
      </c>
      <c r="AF7" s="10" t="n">
        <f aca="false">AE7/25</f>
        <v>0.96</v>
      </c>
      <c r="AG7" s="5" t="s">
        <v>167</v>
      </c>
    </row>
    <row r="8" customFormat="false" ht="15" hidden="false" customHeight="false" outlineLevel="0" collapsed="false">
      <c r="A8" s="14" t="n">
        <v>4</v>
      </c>
      <c r="B8" s="5" t="s">
        <v>235</v>
      </c>
      <c r="C8" s="5" t="s">
        <v>236</v>
      </c>
      <c r="D8" s="14" t="s">
        <v>170</v>
      </c>
      <c r="E8" s="16" t="n">
        <v>46259.6084574306</v>
      </c>
      <c r="F8" s="17" t="n">
        <v>1</v>
      </c>
      <c r="G8" s="18" t="n">
        <v>0</v>
      </c>
      <c r="H8" s="18" t="n">
        <v>0</v>
      </c>
      <c r="I8" s="17" t="n">
        <v>1</v>
      </c>
      <c r="J8" s="17" t="n">
        <v>1</v>
      </c>
      <c r="K8" s="17" t="n">
        <v>1</v>
      </c>
      <c r="L8" s="17" t="n">
        <v>1</v>
      </c>
      <c r="M8" s="17" t="n">
        <v>1</v>
      </c>
      <c r="N8" s="17" t="n">
        <v>1</v>
      </c>
      <c r="O8" s="17" t="n">
        <v>1</v>
      </c>
      <c r="P8" s="17" t="n">
        <v>1</v>
      </c>
      <c r="Q8" s="17" t="n">
        <v>1</v>
      </c>
      <c r="R8" s="17" t="n">
        <v>1</v>
      </c>
      <c r="S8" s="17" t="n">
        <v>1</v>
      </c>
      <c r="T8" s="17" t="n">
        <v>1</v>
      </c>
      <c r="U8" s="17" t="n">
        <v>1</v>
      </c>
      <c r="V8" s="17" t="n">
        <v>1</v>
      </c>
      <c r="W8" s="17" t="n">
        <v>1</v>
      </c>
      <c r="X8" s="17" t="n">
        <v>1</v>
      </c>
      <c r="Y8" s="17" t="n">
        <v>1</v>
      </c>
      <c r="Z8" s="17" t="n">
        <v>1</v>
      </c>
      <c r="AA8" s="17" t="n">
        <v>1</v>
      </c>
      <c r="AB8" s="17" t="n">
        <v>1</v>
      </c>
      <c r="AC8" s="17" t="n">
        <v>1</v>
      </c>
      <c r="AD8" s="17" t="n">
        <v>1</v>
      </c>
      <c r="AE8" s="19" t="n">
        <f aca="false">SUM(F8:AD8)</f>
        <v>23</v>
      </c>
      <c r="AF8" s="10" t="n">
        <f aca="false">AE8/25</f>
        <v>0.92</v>
      </c>
      <c r="AG8" s="5" t="s">
        <v>167</v>
      </c>
    </row>
    <row r="9" customFormat="false" ht="15" hidden="false" customHeight="false" outlineLevel="0" collapsed="false">
      <c r="A9" s="14" t="n">
        <v>5</v>
      </c>
      <c r="B9" s="5" t="s">
        <v>237</v>
      </c>
      <c r="C9" s="5" t="s">
        <v>238</v>
      </c>
      <c r="D9" s="14" t="s">
        <v>170</v>
      </c>
      <c r="E9" s="16" t="n">
        <v>46259.6093619792</v>
      </c>
      <c r="F9" s="17" t="n">
        <v>1</v>
      </c>
      <c r="G9" s="17" t="n">
        <v>1</v>
      </c>
      <c r="H9" s="17" t="n">
        <v>1</v>
      </c>
      <c r="I9" s="17" t="n">
        <v>1</v>
      </c>
      <c r="J9" s="17" t="n">
        <v>1</v>
      </c>
      <c r="K9" s="17" t="n">
        <v>1</v>
      </c>
      <c r="L9" s="17" t="n">
        <v>1</v>
      </c>
      <c r="M9" s="17" t="n">
        <v>1</v>
      </c>
      <c r="N9" s="17" t="n">
        <v>1</v>
      </c>
      <c r="O9" s="17" t="n">
        <v>1</v>
      </c>
      <c r="P9" s="17" t="n">
        <v>1</v>
      </c>
      <c r="Q9" s="17" t="n">
        <v>1</v>
      </c>
      <c r="R9" s="17" t="n">
        <v>1</v>
      </c>
      <c r="S9" s="17" t="n">
        <v>1</v>
      </c>
      <c r="T9" s="17" t="n">
        <v>1</v>
      </c>
      <c r="U9" s="17" t="n">
        <v>1</v>
      </c>
      <c r="V9" s="18" t="n">
        <v>0</v>
      </c>
      <c r="W9" s="17" t="n">
        <v>1</v>
      </c>
      <c r="X9" s="17" t="n">
        <v>1</v>
      </c>
      <c r="Y9" s="17" t="n">
        <v>1</v>
      </c>
      <c r="Z9" s="17" t="n">
        <v>1</v>
      </c>
      <c r="AA9" s="17" t="n">
        <v>1</v>
      </c>
      <c r="AB9" s="17" t="n">
        <v>1</v>
      </c>
      <c r="AC9" s="17" t="n">
        <v>1</v>
      </c>
      <c r="AD9" s="18" t="n">
        <v>0</v>
      </c>
      <c r="AE9" s="19" t="n">
        <f aca="false">SUM(F9:AD9)</f>
        <v>23</v>
      </c>
      <c r="AF9" s="10" t="n">
        <f aca="false">AE9/25</f>
        <v>0.92</v>
      </c>
      <c r="AG9" s="5" t="s">
        <v>167</v>
      </c>
    </row>
    <row r="10" customFormat="false" ht="15" hidden="false" customHeight="false" outlineLevel="0" collapsed="false">
      <c r="A10" s="14" t="n">
        <v>6</v>
      </c>
      <c r="B10" s="5" t="s">
        <v>239</v>
      </c>
      <c r="C10" s="5" t="s">
        <v>240</v>
      </c>
      <c r="D10" s="14" t="s">
        <v>170</v>
      </c>
      <c r="E10" s="16" t="n">
        <v>46259.609699838</v>
      </c>
      <c r="F10" s="17" t="n">
        <v>1</v>
      </c>
      <c r="G10" s="17" t="n">
        <v>1</v>
      </c>
      <c r="H10" s="17" t="n">
        <v>1</v>
      </c>
      <c r="I10" s="17" t="n">
        <v>1</v>
      </c>
      <c r="J10" s="17" t="n">
        <v>1</v>
      </c>
      <c r="K10" s="17" t="n">
        <v>1</v>
      </c>
      <c r="L10" s="17" t="n">
        <v>1</v>
      </c>
      <c r="M10" s="17" t="n">
        <v>1</v>
      </c>
      <c r="N10" s="17" t="n">
        <v>1</v>
      </c>
      <c r="O10" s="17" t="n">
        <v>1</v>
      </c>
      <c r="P10" s="17" t="n">
        <v>1</v>
      </c>
      <c r="Q10" s="17" t="n">
        <v>1</v>
      </c>
      <c r="R10" s="17" t="n">
        <v>1</v>
      </c>
      <c r="S10" s="17" t="n">
        <v>1</v>
      </c>
      <c r="T10" s="17" t="n">
        <v>1</v>
      </c>
      <c r="U10" s="17" t="n">
        <v>1</v>
      </c>
      <c r="V10" s="18" t="n">
        <v>0</v>
      </c>
      <c r="W10" s="17" t="n">
        <v>1</v>
      </c>
      <c r="X10" s="17" t="n">
        <v>1</v>
      </c>
      <c r="Y10" s="17" t="n">
        <v>1</v>
      </c>
      <c r="Z10" s="17" t="n">
        <v>1</v>
      </c>
      <c r="AA10" s="17" t="n">
        <v>1</v>
      </c>
      <c r="AB10" s="17" t="n">
        <v>1</v>
      </c>
      <c r="AC10" s="17" t="n">
        <v>1</v>
      </c>
      <c r="AD10" s="18" t="n">
        <v>0</v>
      </c>
      <c r="AE10" s="19" t="n">
        <f aca="false">SUM(F10:AD10)</f>
        <v>23</v>
      </c>
      <c r="AF10" s="10" t="n">
        <f aca="false">AE10/25</f>
        <v>0.92</v>
      </c>
      <c r="AG10" s="5" t="s">
        <v>167</v>
      </c>
    </row>
    <row r="11" customFormat="false" ht="15" hidden="false" customHeight="false" outlineLevel="0" collapsed="false">
      <c r="A11" s="14" t="n">
        <v>7</v>
      </c>
      <c r="B11" s="5" t="s">
        <v>241</v>
      </c>
      <c r="C11" s="5" t="s">
        <v>242</v>
      </c>
      <c r="D11" s="14" t="s">
        <v>170</v>
      </c>
      <c r="E11" s="16" t="n">
        <v>46259.6108418866</v>
      </c>
      <c r="F11" s="17" t="n">
        <v>1</v>
      </c>
      <c r="G11" s="17" t="n">
        <v>1</v>
      </c>
      <c r="H11" s="17" t="n">
        <v>1</v>
      </c>
      <c r="I11" s="17" t="n">
        <v>1</v>
      </c>
      <c r="J11" s="17" t="n">
        <v>1</v>
      </c>
      <c r="K11" s="17" t="n">
        <v>1</v>
      </c>
      <c r="L11" s="17" t="n">
        <v>1</v>
      </c>
      <c r="M11" s="17" t="n">
        <v>1</v>
      </c>
      <c r="N11" s="17" t="n">
        <v>1</v>
      </c>
      <c r="O11" s="17" t="n">
        <v>1</v>
      </c>
      <c r="P11" s="17" t="n">
        <v>1</v>
      </c>
      <c r="Q11" s="17" t="n">
        <v>1</v>
      </c>
      <c r="R11" s="17" t="n">
        <v>1</v>
      </c>
      <c r="S11" s="17" t="n">
        <v>1</v>
      </c>
      <c r="T11" s="17" t="n">
        <v>1</v>
      </c>
      <c r="U11" s="17" t="n">
        <v>1</v>
      </c>
      <c r="V11" s="17" t="n">
        <v>1</v>
      </c>
      <c r="W11" s="17" t="n">
        <v>1</v>
      </c>
      <c r="X11" s="17" t="n">
        <v>1</v>
      </c>
      <c r="Y11" s="17" t="n">
        <v>1</v>
      </c>
      <c r="Z11" s="17" t="n">
        <v>1</v>
      </c>
      <c r="AA11" s="17" t="n">
        <v>1</v>
      </c>
      <c r="AB11" s="17" t="n">
        <v>1</v>
      </c>
      <c r="AC11" s="18" t="n">
        <v>0</v>
      </c>
      <c r="AD11" s="18" t="n">
        <v>0</v>
      </c>
      <c r="AE11" s="19" t="n">
        <f aca="false">SUM(F11:AD11)</f>
        <v>23</v>
      </c>
      <c r="AF11" s="10" t="n">
        <f aca="false">AE11/25</f>
        <v>0.92</v>
      </c>
      <c r="AG11" s="5" t="s">
        <v>167</v>
      </c>
    </row>
    <row r="12" customFormat="false" ht="15" hidden="false" customHeight="false" outlineLevel="0" collapsed="false">
      <c r="A12" s="14" t="n">
        <v>8</v>
      </c>
      <c r="B12" s="5" t="s">
        <v>175</v>
      </c>
      <c r="C12" s="5" t="s">
        <v>176</v>
      </c>
      <c r="D12" s="14" t="s">
        <v>166</v>
      </c>
      <c r="E12" s="16" t="n">
        <v>46259.6092773843</v>
      </c>
      <c r="F12" s="17" t="n">
        <v>1</v>
      </c>
      <c r="G12" s="17" t="n">
        <v>1</v>
      </c>
      <c r="H12" s="17" t="n">
        <v>1</v>
      </c>
      <c r="I12" s="17" t="n">
        <v>1</v>
      </c>
      <c r="J12" s="17" t="n">
        <v>1</v>
      </c>
      <c r="K12" s="17" t="n">
        <v>1</v>
      </c>
      <c r="L12" s="17" t="n">
        <v>1</v>
      </c>
      <c r="M12" s="17" t="n">
        <v>1</v>
      </c>
      <c r="N12" s="17" t="n">
        <v>1</v>
      </c>
      <c r="O12" s="17" t="n">
        <v>1</v>
      </c>
      <c r="P12" s="17" t="n">
        <v>1</v>
      </c>
      <c r="Q12" s="17" t="n">
        <v>1</v>
      </c>
      <c r="R12" s="17" t="n">
        <v>1</v>
      </c>
      <c r="S12" s="17" t="n">
        <v>1</v>
      </c>
      <c r="T12" s="18" t="n">
        <v>0</v>
      </c>
      <c r="U12" s="18" t="n">
        <v>0</v>
      </c>
      <c r="V12" s="17" t="n">
        <v>1</v>
      </c>
      <c r="W12" s="17" t="n">
        <v>1</v>
      </c>
      <c r="X12" s="17" t="n">
        <v>1</v>
      </c>
      <c r="Y12" s="18" t="n">
        <v>0</v>
      </c>
      <c r="Z12" s="17" t="n">
        <v>1</v>
      </c>
      <c r="AA12" s="17" t="n">
        <v>1</v>
      </c>
      <c r="AB12" s="17" t="n">
        <v>1</v>
      </c>
      <c r="AC12" s="17" t="n">
        <v>1</v>
      </c>
      <c r="AD12" s="17" t="n">
        <v>1</v>
      </c>
      <c r="AE12" s="19" t="n">
        <f aca="false">SUM(F12:AD12)</f>
        <v>22</v>
      </c>
      <c r="AF12" s="10" t="n">
        <f aca="false">AE12/25</f>
        <v>0.88</v>
      </c>
      <c r="AG12" s="5" t="s">
        <v>167</v>
      </c>
    </row>
    <row r="13" customFormat="false" ht="15" hidden="false" customHeight="false" outlineLevel="0" collapsed="false">
      <c r="A13" s="14" t="n">
        <v>9</v>
      </c>
      <c r="B13" s="5" t="s">
        <v>243</v>
      </c>
      <c r="C13" s="5" t="s">
        <v>244</v>
      </c>
      <c r="D13" s="14" t="s">
        <v>170</v>
      </c>
      <c r="E13" s="16" t="n">
        <v>46259.6101093982</v>
      </c>
      <c r="F13" s="17" t="n">
        <v>1</v>
      </c>
      <c r="G13" s="18" t="n">
        <v>0</v>
      </c>
      <c r="H13" s="18" t="n">
        <v>0</v>
      </c>
      <c r="I13" s="18" t="n">
        <v>0</v>
      </c>
      <c r="J13" s="17" t="n">
        <v>1</v>
      </c>
      <c r="K13" s="17" t="n">
        <v>1</v>
      </c>
      <c r="L13" s="17" t="n">
        <v>1</v>
      </c>
      <c r="M13" s="17" t="n">
        <v>1</v>
      </c>
      <c r="N13" s="17" t="n">
        <v>1</v>
      </c>
      <c r="O13" s="17" t="n">
        <v>1</v>
      </c>
      <c r="P13" s="17" t="n">
        <v>1</v>
      </c>
      <c r="Q13" s="17" t="n">
        <v>1</v>
      </c>
      <c r="R13" s="17" t="n">
        <v>1</v>
      </c>
      <c r="S13" s="17" t="n">
        <v>1</v>
      </c>
      <c r="T13" s="17" t="n">
        <v>1</v>
      </c>
      <c r="U13" s="17" t="n">
        <v>1</v>
      </c>
      <c r="V13" s="17" t="n">
        <v>1</v>
      </c>
      <c r="W13" s="17" t="n">
        <v>1</v>
      </c>
      <c r="X13" s="17" t="n">
        <v>1</v>
      </c>
      <c r="Y13" s="17" t="n">
        <v>1</v>
      </c>
      <c r="Z13" s="17" t="n">
        <v>1</v>
      </c>
      <c r="AA13" s="17" t="n">
        <v>1</v>
      </c>
      <c r="AB13" s="17" t="n">
        <v>1</v>
      </c>
      <c r="AC13" s="17" t="n">
        <v>1</v>
      </c>
      <c r="AD13" s="17" t="n">
        <v>1</v>
      </c>
      <c r="AE13" s="19" t="n">
        <f aca="false">SUM(F13:AD13)</f>
        <v>22</v>
      </c>
      <c r="AF13" s="10" t="n">
        <f aca="false">AE13/25</f>
        <v>0.88</v>
      </c>
      <c r="AG13" s="5" t="s">
        <v>167</v>
      </c>
    </row>
    <row r="14" customFormat="false" ht="15" hidden="false" customHeight="false" outlineLevel="0" collapsed="false">
      <c r="A14" s="14" t="n">
        <v>10</v>
      </c>
      <c r="B14" s="5" t="s">
        <v>182</v>
      </c>
      <c r="C14" s="5" t="s">
        <v>183</v>
      </c>
      <c r="D14" s="14" t="s">
        <v>166</v>
      </c>
      <c r="E14" s="16" t="n">
        <v>46259.6102834375</v>
      </c>
      <c r="F14" s="18" t="n">
        <v>0</v>
      </c>
      <c r="G14" s="18" t="n">
        <v>0</v>
      </c>
      <c r="H14" s="17" t="n">
        <v>1</v>
      </c>
      <c r="I14" s="17" t="n">
        <v>1</v>
      </c>
      <c r="J14" s="17" t="n">
        <v>1</v>
      </c>
      <c r="K14" s="17" t="n">
        <v>1</v>
      </c>
      <c r="L14" s="18" t="n">
        <v>0</v>
      </c>
      <c r="M14" s="17" t="n">
        <v>1</v>
      </c>
      <c r="N14" s="17" t="n">
        <v>1</v>
      </c>
      <c r="O14" s="17" t="n">
        <v>1</v>
      </c>
      <c r="P14" s="17" t="n">
        <v>1</v>
      </c>
      <c r="Q14" s="17" t="n">
        <v>1</v>
      </c>
      <c r="R14" s="17" t="n">
        <v>1</v>
      </c>
      <c r="S14" s="17" t="n">
        <v>1</v>
      </c>
      <c r="T14" s="17" t="n">
        <v>1</v>
      </c>
      <c r="U14" s="17" t="n">
        <v>1</v>
      </c>
      <c r="V14" s="17" t="n">
        <v>1</v>
      </c>
      <c r="W14" s="17" t="n">
        <v>1</v>
      </c>
      <c r="X14" s="17" t="n">
        <v>1</v>
      </c>
      <c r="Y14" s="17" t="n">
        <v>1</v>
      </c>
      <c r="Z14" s="17" t="n">
        <v>1</v>
      </c>
      <c r="AA14" s="17" t="n">
        <v>1</v>
      </c>
      <c r="AB14" s="17" t="n">
        <v>1</v>
      </c>
      <c r="AC14" s="17" t="n">
        <v>1</v>
      </c>
      <c r="AD14" s="17" t="n">
        <v>1</v>
      </c>
      <c r="AE14" s="19" t="n">
        <f aca="false">SUM(F14:AD14)</f>
        <v>22</v>
      </c>
      <c r="AF14" s="10" t="n">
        <f aca="false">AE14/25</f>
        <v>0.88</v>
      </c>
      <c r="AG14" s="5" t="s">
        <v>167</v>
      </c>
    </row>
    <row r="15" customFormat="false" ht="15" hidden="false" customHeight="false" outlineLevel="0" collapsed="false">
      <c r="A15" s="14" t="n">
        <v>11</v>
      </c>
      <c r="B15" s="5" t="s">
        <v>245</v>
      </c>
      <c r="C15" s="5" t="s">
        <v>246</v>
      </c>
      <c r="D15" s="14" t="s">
        <v>170</v>
      </c>
      <c r="E15" s="16" t="n">
        <v>46259.6130990741</v>
      </c>
      <c r="F15" s="17" t="n">
        <v>1</v>
      </c>
      <c r="G15" s="18" t="n">
        <v>0</v>
      </c>
      <c r="H15" s="17" t="n">
        <v>1</v>
      </c>
      <c r="I15" s="17" t="n">
        <v>1</v>
      </c>
      <c r="J15" s="17" t="n">
        <v>1</v>
      </c>
      <c r="K15" s="17" t="n">
        <v>1</v>
      </c>
      <c r="L15" s="17" t="n">
        <v>1</v>
      </c>
      <c r="M15" s="17" t="n">
        <v>1</v>
      </c>
      <c r="N15" s="17" t="n">
        <v>1</v>
      </c>
      <c r="O15" s="17" t="n">
        <v>1</v>
      </c>
      <c r="P15" s="17" t="n">
        <v>1</v>
      </c>
      <c r="Q15" s="17" t="n">
        <v>1</v>
      </c>
      <c r="R15" s="18" t="n">
        <v>0</v>
      </c>
      <c r="S15" s="17" t="n">
        <v>1</v>
      </c>
      <c r="T15" s="17" t="n">
        <v>1</v>
      </c>
      <c r="U15" s="17" t="n">
        <v>1</v>
      </c>
      <c r="V15" s="17" t="n">
        <v>1</v>
      </c>
      <c r="W15" s="17" t="n">
        <v>1</v>
      </c>
      <c r="X15" s="18" t="n">
        <v>0</v>
      </c>
      <c r="Y15" s="17" t="n">
        <v>1</v>
      </c>
      <c r="Z15" s="17" t="n">
        <v>1</v>
      </c>
      <c r="AA15" s="17" t="n">
        <v>1</v>
      </c>
      <c r="AB15" s="17" t="n">
        <v>1</v>
      </c>
      <c r="AC15" s="17" t="n">
        <v>1</v>
      </c>
      <c r="AD15" s="17" t="n">
        <v>1</v>
      </c>
      <c r="AE15" s="19" t="n">
        <f aca="false">SUM(F15:AD15)</f>
        <v>22</v>
      </c>
      <c r="AF15" s="10" t="n">
        <f aca="false">AE15/25</f>
        <v>0.88</v>
      </c>
      <c r="AG15" s="5" t="s">
        <v>167</v>
      </c>
    </row>
    <row r="16" customFormat="false" ht="15" hidden="false" customHeight="false" outlineLevel="0" collapsed="false">
      <c r="A16" s="14" t="n">
        <v>12</v>
      </c>
      <c r="B16" s="5" t="s">
        <v>247</v>
      </c>
      <c r="C16" s="5" t="s">
        <v>248</v>
      </c>
      <c r="D16" s="14" t="s">
        <v>166</v>
      </c>
      <c r="E16" s="16" t="n">
        <v>46259.614928912</v>
      </c>
      <c r="F16" s="17" t="n">
        <v>1</v>
      </c>
      <c r="G16" s="18" t="n">
        <v>0</v>
      </c>
      <c r="H16" s="17" t="n">
        <v>1</v>
      </c>
      <c r="I16" s="17" t="n">
        <v>1</v>
      </c>
      <c r="J16" s="17" t="n">
        <v>1</v>
      </c>
      <c r="K16" s="17" t="n">
        <v>1</v>
      </c>
      <c r="L16" s="17" t="n">
        <v>1</v>
      </c>
      <c r="M16" s="17" t="n">
        <v>1</v>
      </c>
      <c r="N16" s="17" t="n">
        <v>1</v>
      </c>
      <c r="O16" s="17" t="n">
        <v>1</v>
      </c>
      <c r="P16" s="17" t="n">
        <v>1</v>
      </c>
      <c r="Q16" s="17" t="n">
        <v>1</v>
      </c>
      <c r="R16" s="18" t="n">
        <v>0</v>
      </c>
      <c r="S16" s="17" t="n">
        <v>1</v>
      </c>
      <c r="T16" s="17" t="n">
        <v>1</v>
      </c>
      <c r="U16" s="17" t="n">
        <v>1</v>
      </c>
      <c r="V16" s="18" t="n">
        <v>0</v>
      </c>
      <c r="W16" s="17" t="n">
        <v>1</v>
      </c>
      <c r="X16" s="17" t="n">
        <v>1</v>
      </c>
      <c r="Y16" s="17" t="n">
        <v>1</v>
      </c>
      <c r="Z16" s="17" t="n">
        <v>1</v>
      </c>
      <c r="AA16" s="17" t="n">
        <v>1</v>
      </c>
      <c r="AB16" s="17" t="n">
        <v>1</v>
      </c>
      <c r="AC16" s="17" t="n">
        <v>1</v>
      </c>
      <c r="AD16" s="17" t="n">
        <v>1</v>
      </c>
      <c r="AE16" s="19" t="n">
        <f aca="false">SUM(F16:AD16)</f>
        <v>22</v>
      </c>
      <c r="AF16" s="10" t="n">
        <f aca="false">AE16/25</f>
        <v>0.88</v>
      </c>
      <c r="AG16" s="5" t="s">
        <v>167</v>
      </c>
    </row>
    <row r="17" customFormat="false" ht="15" hidden="false" customHeight="false" outlineLevel="0" collapsed="false">
      <c r="A17" s="14" t="n">
        <v>13</v>
      </c>
      <c r="B17" s="5" t="s">
        <v>249</v>
      </c>
      <c r="C17" s="5" t="s">
        <v>250</v>
      </c>
      <c r="D17" s="14" t="s">
        <v>170</v>
      </c>
      <c r="E17" s="16" t="n">
        <v>46259.6179992593</v>
      </c>
      <c r="F17" s="17" t="n">
        <v>1</v>
      </c>
      <c r="G17" s="18" t="n">
        <v>0</v>
      </c>
      <c r="H17" s="17" t="n">
        <v>1</v>
      </c>
      <c r="I17" s="17" t="n">
        <v>1</v>
      </c>
      <c r="J17" s="17" t="n">
        <v>1</v>
      </c>
      <c r="K17" s="17" t="n">
        <v>1</v>
      </c>
      <c r="L17" s="17" t="n">
        <v>1</v>
      </c>
      <c r="M17" s="18" t="n">
        <v>0</v>
      </c>
      <c r="N17" s="17" t="n">
        <v>1</v>
      </c>
      <c r="O17" s="17" t="n">
        <v>1</v>
      </c>
      <c r="P17" s="17" t="n">
        <v>1</v>
      </c>
      <c r="Q17" s="17" t="n">
        <v>1</v>
      </c>
      <c r="R17" s="17" t="n">
        <v>1</v>
      </c>
      <c r="S17" s="17" t="n">
        <v>1</v>
      </c>
      <c r="T17" s="17" t="n">
        <v>1</v>
      </c>
      <c r="U17" s="17" t="n">
        <v>1</v>
      </c>
      <c r="V17" s="17" t="n">
        <v>1</v>
      </c>
      <c r="W17" s="17" t="n">
        <v>1</v>
      </c>
      <c r="X17" s="18" t="n">
        <v>0</v>
      </c>
      <c r="Y17" s="17" t="n">
        <v>1</v>
      </c>
      <c r="Z17" s="17" t="n">
        <v>1</v>
      </c>
      <c r="AA17" s="17" t="n">
        <v>1</v>
      </c>
      <c r="AB17" s="17" t="n">
        <v>1</v>
      </c>
      <c r="AC17" s="17" t="n">
        <v>1</v>
      </c>
      <c r="AD17" s="17" t="n">
        <v>1</v>
      </c>
      <c r="AE17" s="19" t="n">
        <f aca="false">SUM(F17:AD17)</f>
        <v>22</v>
      </c>
      <c r="AF17" s="10" t="n">
        <f aca="false">AE17/25</f>
        <v>0.88</v>
      </c>
      <c r="AG17" s="5" t="s">
        <v>167</v>
      </c>
    </row>
    <row r="18" customFormat="false" ht="15" hidden="false" customHeight="false" outlineLevel="0" collapsed="false">
      <c r="A18" s="14" t="n">
        <v>14</v>
      </c>
      <c r="B18" s="5" t="s">
        <v>186</v>
      </c>
      <c r="C18" s="5" t="s">
        <v>187</v>
      </c>
      <c r="D18" s="14" t="s">
        <v>166</v>
      </c>
      <c r="E18" s="16" t="n">
        <v>46259.6086984838</v>
      </c>
      <c r="F18" s="17" t="n">
        <v>1</v>
      </c>
      <c r="G18" s="18" t="n">
        <v>0</v>
      </c>
      <c r="H18" s="17" t="n">
        <v>1</v>
      </c>
      <c r="I18" s="17" t="n">
        <v>1</v>
      </c>
      <c r="J18" s="17" t="n">
        <v>1</v>
      </c>
      <c r="K18" s="17" t="n">
        <v>1</v>
      </c>
      <c r="L18" s="17" t="n">
        <v>1</v>
      </c>
      <c r="M18" s="17" t="n">
        <v>1</v>
      </c>
      <c r="N18" s="17" t="n">
        <v>1</v>
      </c>
      <c r="O18" s="17" t="n">
        <v>1</v>
      </c>
      <c r="P18" s="17" t="n">
        <v>1</v>
      </c>
      <c r="Q18" s="17" t="n">
        <v>1</v>
      </c>
      <c r="R18" s="17" t="n">
        <v>1</v>
      </c>
      <c r="S18" s="17" t="n">
        <v>1</v>
      </c>
      <c r="T18" s="18" t="n">
        <v>0</v>
      </c>
      <c r="U18" s="18" t="n">
        <v>0</v>
      </c>
      <c r="V18" s="17" t="n">
        <v>1</v>
      </c>
      <c r="W18" s="17" t="n">
        <v>1</v>
      </c>
      <c r="X18" s="17" t="n">
        <v>1</v>
      </c>
      <c r="Y18" s="18" t="n">
        <v>0</v>
      </c>
      <c r="Z18" s="17" t="n">
        <v>1</v>
      </c>
      <c r="AA18" s="17" t="n">
        <v>1</v>
      </c>
      <c r="AB18" s="17" t="n">
        <v>1</v>
      </c>
      <c r="AC18" s="17" t="n">
        <v>1</v>
      </c>
      <c r="AD18" s="17" t="n">
        <v>1</v>
      </c>
      <c r="AE18" s="19" t="n">
        <f aca="false">SUM(F18:AD18)</f>
        <v>21</v>
      </c>
      <c r="AF18" s="10" t="n">
        <f aca="false">AE18/25</f>
        <v>0.84</v>
      </c>
      <c r="AG18" s="5" t="s">
        <v>167</v>
      </c>
    </row>
    <row r="19" customFormat="false" ht="15" hidden="false" customHeight="false" outlineLevel="0" collapsed="false">
      <c r="A19" s="14" t="n">
        <v>15</v>
      </c>
      <c r="B19" s="5" t="s">
        <v>203</v>
      </c>
      <c r="C19" s="5" t="s">
        <v>204</v>
      </c>
      <c r="D19" s="14" t="s">
        <v>166</v>
      </c>
      <c r="E19" s="16" t="n">
        <v>46259.6126679282</v>
      </c>
      <c r="F19" s="17" t="n">
        <v>1</v>
      </c>
      <c r="G19" s="18" t="n">
        <v>0</v>
      </c>
      <c r="H19" s="17" t="n">
        <v>1</v>
      </c>
      <c r="I19" s="17" t="n">
        <v>1</v>
      </c>
      <c r="J19" s="17" t="n">
        <v>1</v>
      </c>
      <c r="K19" s="17" t="n">
        <v>1</v>
      </c>
      <c r="L19" s="17" t="n">
        <v>1</v>
      </c>
      <c r="M19" s="17" t="n">
        <v>1</v>
      </c>
      <c r="N19" s="17" t="n">
        <v>1</v>
      </c>
      <c r="O19" s="17" t="n">
        <v>1</v>
      </c>
      <c r="P19" s="18" t="n">
        <v>0</v>
      </c>
      <c r="Q19" s="17" t="n">
        <v>1</v>
      </c>
      <c r="R19" s="17" t="n">
        <v>1</v>
      </c>
      <c r="S19" s="17" t="n">
        <v>1</v>
      </c>
      <c r="T19" s="18" t="n">
        <v>0</v>
      </c>
      <c r="U19" s="17" t="n">
        <v>1</v>
      </c>
      <c r="V19" s="17" t="n">
        <v>1</v>
      </c>
      <c r="W19" s="17" t="n">
        <v>1</v>
      </c>
      <c r="X19" s="17" t="n">
        <v>1</v>
      </c>
      <c r="Y19" s="17" t="n">
        <v>1</v>
      </c>
      <c r="Z19" s="17" t="n">
        <v>1</v>
      </c>
      <c r="AA19" s="17" t="n">
        <v>1</v>
      </c>
      <c r="AB19" s="17" t="n">
        <v>1</v>
      </c>
      <c r="AC19" s="18" t="n">
        <v>0</v>
      </c>
      <c r="AD19" s="17" t="n">
        <v>1</v>
      </c>
      <c r="AE19" s="19" t="n">
        <f aca="false">SUM(F19:AD19)</f>
        <v>21</v>
      </c>
      <c r="AF19" s="10" t="n">
        <f aca="false">AE19/25</f>
        <v>0.84</v>
      </c>
      <c r="AG19" s="5" t="s">
        <v>167</v>
      </c>
    </row>
    <row r="20" customFormat="false" ht="15" hidden="false" customHeight="false" outlineLevel="0" collapsed="false">
      <c r="A20" s="14" t="n">
        <v>16</v>
      </c>
      <c r="B20" s="5" t="s">
        <v>171</v>
      </c>
      <c r="C20" s="5" t="s">
        <v>251</v>
      </c>
      <c r="D20" s="14" t="s">
        <v>166</v>
      </c>
      <c r="E20" s="16" t="n">
        <v>46259.6173056134</v>
      </c>
      <c r="F20" s="17" t="n">
        <v>1</v>
      </c>
      <c r="G20" s="18" t="n">
        <v>0</v>
      </c>
      <c r="H20" s="17" t="n">
        <v>1</v>
      </c>
      <c r="I20" s="17" t="n">
        <v>1</v>
      </c>
      <c r="J20" s="17" t="n">
        <v>1</v>
      </c>
      <c r="K20" s="17" t="n">
        <v>1</v>
      </c>
      <c r="L20" s="17" t="n">
        <v>1</v>
      </c>
      <c r="M20" s="17" t="n">
        <v>1</v>
      </c>
      <c r="N20" s="17" t="n">
        <v>1</v>
      </c>
      <c r="O20" s="17" t="n">
        <v>1</v>
      </c>
      <c r="P20" s="17" t="n">
        <v>1</v>
      </c>
      <c r="Q20" s="17" t="n">
        <v>1</v>
      </c>
      <c r="R20" s="17" t="n">
        <v>1</v>
      </c>
      <c r="S20" s="17" t="n">
        <v>1</v>
      </c>
      <c r="T20" s="17" t="n">
        <v>1</v>
      </c>
      <c r="U20" s="17" t="n">
        <v>1</v>
      </c>
      <c r="V20" s="17" t="n">
        <v>1</v>
      </c>
      <c r="W20" s="17" t="n">
        <v>1</v>
      </c>
      <c r="X20" s="18" t="n">
        <v>0</v>
      </c>
      <c r="Y20" s="18" t="n">
        <v>0</v>
      </c>
      <c r="Z20" s="17" t="n">
        <v>1</v>
      </c>
      <c r="AA20" s="17" t="n">
        <v>1</v>
      </c>
      <c r="AB20" s="17" t="n">
        <v>1</v>
      </c>
      <c r="AC20" s="17" t="n">
        <v>1</v>
      </c>
      <c r="AD20" s="18" t="n">
        <v>0</v>
      </c>
      <c r="AE20" s="19" t="n">
        <f aca="false">SUM(F20:AD20)</f>
        <v>21</v>
      </c>
      <c r="AF20" s="10" t="n">
        <f aca="false">AE20/25</f>
        <v>0.84</v>
      </c>
      <c r="AG20" s="5" t="s">
        <v>167</v>
      </c>
    </row>
    <row r="21" customFormat="false" ht="15" hidden="false" customHeight="false" outlineLevel="0" collapsed="false">
      <c r="A21" s="14" t="n">
        <v>17</v>
      </c>
      <c r="B21" s="5" t="s">
        <v>197</v>
      </c>
      <c r="C21" s="5" t="s">
        <v>198</v>
      </c>
      <c r="D21" s="14" t="s">
        <v>170</v>
      </c>
      <c r="E21" s="16" t="n">
        <v>46259.6180568056</v>
      </c>
      <c r="F21" s="17" t="n">
        <v>1</v>
      </c>
      <c r="G21" s="17" t="n">
        <v>1</v>
      </c>
      <c r="H21" s="17" t="n">
        <v>1</v>
      </c>
      <c r="I21" s="17" t="n">
        <v>1</v>
      </c>
      <c r="J21" s="17" t="n">
        <v>1</v>
      </c>
      <c r="K21" s="17" t="n">
        <v>1</v>
      </c>
      <c r="L21" s="17" t="n">
        <v>1</v>
      </c>
      <c r="M21" s="18" t="n">
        <v>0</v>
      </c>
      <c r="N21" s="17" t="n">
        <v>1</v>
      </c>
      <c r="O21" s="17" t="n">
        <v>1</v>
      </c>
      <c r="P21" s="17" t="n">
        <v>1</v>
      </c>
      <c r="Q21" s="17" t="n">
        <v>1</v>
      </c>
      <c r="R21" s="17" t="n">
        <v>1</v>
      </c>
      <c r="S21" s="17" t="n">
        <v>1</v>
      </c>
      <c r="T21" s="18" t="n">
        <v>0</v>
      </c>
      <c r="U21" s="17" t="n">
        <v>1</v>
      </c>
      <c r="V21" s="17" t="n">
        <v>1</v>
      </c>
      <c r="W21" s="17" t="n">
        <v>1</v>
      </c>
      <c r="X21" s="18" t="n">
        <v>0</v>
      </c>
      <c r="Y21" s="18" t="n">
        <v>0</v>
      </c>
      <c r="Z21" s="17" t="n">
        <v>1</v>
      </c>
      <c r="AA21" s="17" t="n">
        <v>1</v>
      </c>
      <c r="AB21" s="17" t="n">
        <v>1</v>
      </c>
      <c r="AC21" s="17" t="n">
        <v>1</v>
      </c>
      <c r="AD21" s="17" t="n">
        <v>1</v>
      </c>
      <c r="AE21" s="19" t="n">
        <f aca="false">SUM(F21:AD21)</f>
        <v>21</v>
      </c>
      <c r="AF21" s="10" t="n">
        <f aca="false">AE21/25</f>
        <v>0.84</v>
      </c>
      <c r="AG21" s="5" t="s">
        <v>167</v>
      </c>
    </row>
    <row r="22" customFormat="false" ht="15" hidden="false" customHeight="false" outlineLevel="0" collapsed="false">
      <c r="A22" s="14" t="n">
        <v>18</v>
      </c>
      <c r="B22" s="5" t="s">
        <v>173</v>
      </c>
      <c r="C22" s="5" t="s">
        <v>174</v>
      </c>
      <c r="D22" s="14" t="s">
        <v>166</v>
      </c>
      <c r="E22" s="16" t="n">
        <v>46259.6067804282</v>
      </c>
      <c r="F22" s="17" t="n">
        <v>1</v>
      </c>
      <c r="G22" s="17" t="n">
        <v>1</v>
      </c>
      <c r="H22" s="17" t="n">
        <v>1</v>
      </c>
      <c r="I22" s="17" t="n">
        <v>1</v>
      </c>
      <c r="J22" s="17" t="n">
        <v>1</v>
      </c>
      <c r="K22" s="17" t="n">
        <v>1</v>
      </c>
      <c r="L22" s="17" t="n">
        <v>1</v>
      </c>
      <c r="M22" s="18" t="n">
        <v>0</v>
      </c>
      <c r="N22" s="17" t="n">
        <v>1</v>
      </c>
      <c r="O22" s="17" t="n">
        <v>1</v>
      </c>
      <c r="P22" s="18" t="n">
        <v>0</v>
      </c>
      <c r="Q22" s="17" t="n">
        <v>1</v>
      </c>
      <c r="R22" s="17" t="n">
        <v>1</v>
      </c>
      <c r="S22" s="18" t="n">
        <v>0</v>
      </c>
      <c r="T22" s="17" t="n">
        <v>1</v>
      </c>
      <c r="U22" s="17" t="n">
        <v>1</v>
      </c>
      <c r="V22" s="17" t="n">
        <v>1</v>
      </c>
      <c r="W22" s="17" t="n">
        <v>1</v>
      </c>
      <c r="X22" s="18" t="n">
        <v>0</v>
      </c>
      <c r="Y22" s="18" t="n">
        <v>0</v>
      </c>
      <c r="Z22" s="17" t="n">
        <v>1</v>
      </c>
      <c r="AA22" s="17" t="n">
        <v>1</v>
      </c>
      <c r="AB22" s="17" t="n">
        <v>1</v>
      </c>
      <c r="AC22" s="17" t="n">
        <v>1</v>
      </c>
      <c r="AD22" s="17" t="n">
        <v>1</v>
      </c>
      <c r="AE22" s="19" t="n">
        <f aca="false">SUM(F22:AD22)</f>
        <v>20</v>
      </c>
      <c r="AF22" s="10" t="n">
        <f aca="false">AE22/25</f>
        <v>0.8</v>
      </c>
      <c r="AG22" s="5" t="s">
        <v>167</v>
      </c>
    </row>
    <row r="23" customFormat="false" ht="15" hidden="false" customHeight="false" outlineLevel="0" collapsed="false">
      <c r="A23" s="14" t="n">
        <v>19</v>
      </c>
      <c r="B23" s="5" t="s">
        <v>190</v>
      </c>
      <c r="C23" s="5" t="s">
        <v>191</v>
      </c>
      <c r="D23" s="14" t="s">
        <v>166</v>
      </c>
      <c r="E23" s="16" t="n">
        <v>46259.6073885417</v>
      </c>
      <c r="F23" s="17" t="n">
        <v>1</v>
      </c>
      <c r="G23" s="17" t="n">
        <v>1</v>
      </c>
      <c r="H23" s="18" t="n">
        <v>0</v>
      </c>
      <c r="I23" s="17" t="n">
        <v>1</v>
      </c>
      <c r="J23" s="17" t="n">
        <v>1</v>
      </c>
      <c r="K23" s="17" t="n">
        <v>1</v>
      </c>
      <c r="L23" s="17" t="n">
        <v>1</v>
      </c>
      <c r="M23" s="18" t="n">
        <v>0</v>
      </c>
      <c r="N23" s="17" t="n">
        <v>1</v>
      </c>
      <c r="O23" s="17" t="n">
        <v>1</v>
      </c>
      <c r="P23" s="17" t="n">
        <v>1</v>
      </c>
      <c r="Q23" s="17" t="n">
        <v>1</v>
      </c>
      <c r="R23" s="18" t="n">
        <v>0</v>
      </c>
      <c r="S23" s="17" t="n">
        <v>1</v>
      </c>
      <c r="T23" s="17" t="n">
        <v>1</v>
      </c>
      <c r="U23" s="17" t="n">
        <v>1</v>
      </c>
      <c r="V23" s="18" t="n">
        <v>0</v>
      </c>
      <c r="W23" s="17" t="n">
        <v>1</v>
      </c>
      <c r="X23" s="17" t="n">
        <v>1</v>
      </c>
      <c r="Y23" s="17" t="n">
        <v>1</v>
      </c>
      <c r="Z23" s="17" t="n">
        <v>1</v>
      </c>
      <c r="AA23" s="17" t="n">
        <v>1</v>
      </c>
      <c r="AB23" s="17" t="n">
        <v>1</v>
      </c>
      <c r="AC23" s="17" t="n">
        <v>1</v>
      </c>
      <c r="AD23" s="18" t="n">
        <v>0</v>
      </c>
      <c r="AE23" s="19" t="n">
        <f aca="false">SUM(F23:AD23)</f>
        <v>20</v>
      </c>
      <c r="AF23" s="10" t="n">
        <f aca="false">AE23/25</f>
        <v>0.8</v>
      </c>
      <c r="AG23" s="5" t="s">
        <v>167</v>
      </c>
    </row>
    <row r="24" customFormat="false" ht="15" hidden="false" customHeight="false" outlineLevel="0" collapsed="false">
      <c r="A24" s="14" t="n">
        <v>20</v>
      </c>
      <c r="B24" s="5" t="s">
        <v>184</v>
      </c>
      <c r="C24" s="5" t="s">
        <v>185</v>
      </c>
      <c r="D24" s="14" t="s">
        <v>170</v>
      </c>
      <c r="E24" s="16" t="n">
        <v>46259.6174921296</v>
      </c>
      <c r="F24" s="17" t="n">
        <v>1</v>
      </c>
      <c r="G24" s="18" t="n">
        <v>0</v>
      </c>
      <c r="H24" s="17" t="n">
        <v>1</v>
      </c>
      <c r="I24" s="17" t="n">
        <v>1</v>
      </c>
      <c r="J24" s="17" t="n">
        <v>1</v>
      </c>
      <c r="K24" s="17" t="n">
        <v>1</v>
      </c>
      <c r="L24" s="17" t="n">
        <v>1</v>
      </c>
      <c r="M24" s="18" t="n">
        <v>0</v>
      </c>
      <c r="N24" s="17" t="n">
        <v>1</v>
      </c>
      <c r="O24" s="17" t="n">
        <v>1</v>
      </c>
      <c r="P24" s="17" t="n">
        <v>1</v>
      </c>
      <c r="Q24" s="17" t="n">
        <v>1</v>
      </c>
      <c r="R24" s="17" t="n">
        <v>1</v>
      </c>
      <c r="S24" s="18" t="n">
        <v>0</v>
      </c>
      <c r="T24" s="17" t="n">
        <v>1</v>
      </c>
      <c r="U24" s="17" t="n">
        <v>1</v>
      </c>
      <c r="V24" s="17" t="n">
        <v>1</v>
      </c>
      <c r="W24" s="17" t="n">
        <v>1</v>
      </c>
      <c r="X24" s="18" t="n">
        <v>0</v>
      </c>
      <c r="Y24" s="18" t="n">
        <v>0</v>
      </c>
      <c r="Z24" s="17" t="n">
        <v>1</v>
      </c>
      <c r="AA24" s="17" t="n">
        <v>1</v>
      </c>
      <c r="AB24" s="17" t="n">
        <v>1</v>
      </c>
      <c r="AC24" s="17" t="n">
        <v>1</v>
      </c>
      <c r="AD24" s="17" t="n">
        <v>1</v>
      </c>
      <c r="AE24" s="19" t="n">
        <f aca="false">SUM(F24:AD24)</f>
        <v>20</v>
      </c>
      <c r="AF24" s="10" t="n">
        <f aca="false">AE24/25</f>
        <v>0.8</v>
      </c>
      <c r="AG24" s="5" t="s">
        <v>167</v>
      </c>
    </row>
    <row r="25" customFormat="false" ht="15" hidden="false" customHeight="false" outlineLevel="0" collapsed="false">
      <c r="A25" s="14" t="n">
        <v>21</v>
      </c>
      <c r="B25" s="5" t="s">
        <v>192</v>
      </c>
      <c r="C25" s="5" t="s">
        <v>193</v>
      </c>
      <c r="D25" s="14" t="s">
        <v>166</v>
      </c>
      <c r="E25" s="16" t="n">
        <v>46259.607626088</v>
      </c>
      <c r="F25" s="17" t="n">
        <v>1</v>
      </c>
      <c r="G25" s="18" t="n">
        <v>0</v>
      </c>
      <c r="H25" s="17" t="n">
        <v>1</v>
      </c>
      <c r="I25" s="17" t="n">
        <v>1</v>
      </c>
      <c r="J25" s="18" t="n">
        <v>0</v>
      </c>
      <c r="K25" s="17" t="n">
        <v>1</v>
      </c>
      <c r="L25" s="17" t="n">
        <v>1</v>
      </c>
      <c r="M25" s="18" t="n">
        <v>0</v>
      </c>
      <c r="N25" s="17" t="n">
        <v>1</v>
      </c>
      <c r="O25" s="17" t="n">
        <v>1</v>
      </c>
      <c r="P25" s="17" t="n">
        <v>1</v>
      </c>
      <c r="Q25" s="17" t="n">
        <v>1</v>
      </c>
      <c r="R25" s="18" t="n">
        <v>0</v>
      </c>
      <c r="S25" s="17" t="n">
        <v>1</v>
      </c>
      <c r="T25" s="17" t="n">
        <v>1</v>
      </c>
      <c r="U25" s="18" t="n">
        <v>0</v>
      </c>
      <c r="V25" s="18" t="n">
        <v>0</v>
      </c>
      <c r="W25" s="17" t="n">
        <v>1</v>
      </c>
      <c r="X25" s="17" t="n">
        <v>1</v>
      </c>
      <c r="Y25" s="17" t="n">
        <v>1</v>
      </c>
      <c r="Z25" s="17" t="n">
        <v>1</v>
      </c>
      <c r="AA25" s="17" t="n">
        <v>1</v>
      </c>
      <c r="AB25" s="17" t="n">
        <v>1</v>
      </c>
      <c r="AC25" s="17" t="n">
        <v>1</v>
      </c>
      <c r="AD25" s="17" t="n">
        <v>1</v>
      </c>
      <c r="AE25" s="19" t="n">
        <f aca="false">SUM(F25:AD25)</f>
        <v>19</v>
      </c>
      <c r="AF25" s="10" t="n">
        <f aca="false">AE25/25</f>
        <v>0.76</v>
      </c>
      <c r="AG25" s="5" t="s">
        <v>179</v>
      </c>
    </row>
    <row r="26" customFormat="false" ht="15" hidden="false" customHeight="false" outlineLevel="0" collapsed="false">
      <c r="A26" s="14" t="n">
        <v>22</v>
      </c>
      <c r="B26" s="5" t="s">
        <v>252</v>
      </c>
      <c r="C26" s="5" t="s">
        <v>165</v>
      </c>
      <c r="D26" s="14" t="s">
        <v>166</v>
      </c>
      <c r="E26" s="16" t="n">
        <v>46259.6086764352</v>
      </c>
      <c r="F26" s="17" t="n">
        <v>1</v>
      </c>
      <c r="G26" s="18" t="n">
        <v>0</v>
      </c>
      <c r="H26" s="18" t="n">
        <v>0</v>
      </c>
      <c r="I26" s="17" t="n">
        <v>1</v>
      </c>
      <c r="J26" s="17" t="n">
        <v>1</v>
      </c>
      <c r="K26" s="17" t="n">
        <v>1</v>
      </c>
      <c r="L26" s="17" t="n">
        <v>1</v>
      </c>
      <c r="M26" s="18" t="n">
        <v>0</v>
      </c>
      <c r="N26" s="17" t="n">
        <v>1</v>
      </c>
      <c r="O26" s="17" t="n">
        <v>1</v>
      </c>
      <c r="P26" s="17" t="n">
        <v>1</v>
      </c>
      <c r="Q26" s="17" t="n">
        <v>1</v>
      </c>
      <c r="R26" s="18" t="n">
        <v>0</v>
      </c>
      <c r="S26" s="17" t="n">
        <v>1</v>
      </c>
      <c r="T26" s="17" t="n">
        <v>1</v>
      </c>
      <c r="U26" s="17" t="n">
        <v>1</v>
      </c>
      <c r="V26" s="18" t="n">
        <v>0</v>
      </c>
      <c r="W26" s="17" t="n">
        <v>1</v>
      </c>
      <c r="X26" s="17" t="n">
        <v>1</v>
      </c>
      <c r="Y26" s="17" t="n">
        <v>1</v>
      </c>
      <c r="Z26" s="17" t="n">
        <v>1</v>
      </c>
      <c r="AA26" s="17" t="n">
        <v>1</v>
      </c>
      <c r="AB26" s="17" t="n">
        <v>1</v>
      </c>
      <c r="AC26" s="17" t="n">
        <v>1</v>
      </c>
      <c r="AD26" s="18" t="n">
        <v>0</v>
      </c>
      <c r="AE26" s="19" t="n">
        <f aca="false">SUM(F26:AD26)</f>
        <v>19</v>
      </c>
      <c r="AF26" s="10" t="n">
        <f aca="false">AE26/25</f>
        <v>0.76</v>
      </c>
      <c r="AG26" s="5" t="s">
        <v>179</v>
      </c>
    </row>
    <row r="27" customFormat="false" ht="15" hidden="false" customHeight="false" outlineLevel="0" collapsed="false">
      <c r="A27" s="14" t="n">
        <v>23</v>
      </c>
      <c r="B27" s="5" t="s">
        <v>253</v>
      </c>
      <c r="C27" s="5" t="s">
        <v>222</v>
      </c>
      <c r="D27" s="14" t="s">
        <v>166</v>
      </c>
      <c r="E27" s="16" t="n">
        <v>46259.6112987269</v>
      </c>
      <c r="F27" s="18" t="n">
        <v>0</v>
      </c>
      <c r="G27" s="17" t="n">
        <v>1</v>
      </c>
      <c r="H27" s="18" t="n">
        <v>0</v>
      </c>
      <c r="I27" s="17" t="n">
        <v>1</v>
      </c>
      <c r="J27" s="18" t="n">
        <v>0</v>
      </c>
      <c r="K27" s="17" t="n">
        <v>1</v>
      </c>
      <c r="L27" s="18" t="n">
        <v>0</v>
      </c>
      <c r="M27" s="18" t="n">
        <v>0</v>
      </c>
      <c r="N27" s="17" t="n">
        <v>1</v>
      </c>
      <c r="O27" s="17" t="n">
        <v>1</v>
      </c>
      <c r="P27" s="17" t="n">
        <v>1</v>
      </c>
      <c r="Q27" s="17" t="n">
        <v>1</v>
      </c>
      <c r="R27" s="17" t="n">
        <v>1</v>
      </c>
      <c r="S27" s="18" t="n">
        <v>0</v>
      </c>
      <c r="T27" s="17" t="n">
        <v>1</v>
      </c>
      <c r="U27" s="17" t="n">
        <v>1</v>
      </c>
      <c r="V27" s="17" t="n">
        <v>1</v>
      </c>
      <c r="W27" s="17" t="n">
        <v>1</v>
      </c>
      <c r="X27" s="17" t="n">
        <v>1</v>
      </c>
      <c r="Y27" s="17" t="n">
        <v>1</v>
      </c>
      <c r="Z27" s="17" t="n">
        <v>1</v>
      </c>
      <c r="AA27" s="17" t="n">
        <v>1</v>
      </c>
      <c r="AB27" s="17" t="n">
        <v>1</v>
      </c>
      <c r="AC27" s="17" t="n">
        <v>1</v>
      </c>
      <c r="AD27" s="17" t="n">
        <v>1</v>
      </c>
      <c r="AE27" s="19" t="n">
        <f aca="false">SUM(F27:AD27)</f>
        <v>19</v>
      </c>
      <c r="AF27" s="10" t="n">
        <f aca="false">AE27/25</f>
        <v>0.76</v>
      </c>
      <c r="AG27" s="5" t="s">
        <v>179</v>
      </c>
    </row>
    <row r="28" customFormat="false" ht="15" hidden="false" customHeight="false" outlineLevel="0" collapsed="false">
      <c r="A28" s="14" t="n">
        <v>24</v>
      </c>
      <c r="B28" s="5" t="s">
        <v>254</v>
      </c>
      <c r="C28" s="5" t="s">
        <v>193</v>
      </c>
      <c r="D28" s="14" t="s">
        <v>166</v>
      </c>
      <c r="E28" s="16" t="n">
        <v>46259.6134738542</v>
      </c>
      <c r="F28" s="17" t="n">
        <v>1</v>
      </c>
      <c r="G28" s="18" t="n">
        <v>0</v>
      </c>
      <c r="H28" s="17" t="n">
        <v>1</v>
      </c>
      <c r="I28" s="17" t="n">
        <v>1</v>
      </c>
      <c r="J28" s="18" t="n">
        <v>0</v>
      </c>
      <c r="K28" s="17" t="n">
        <v>1</v>
      </c>
      <c r="L28" s="17" t="n">
        <v>1</v>
      </c>
      <c r="M28" s="18" t="n">
        <v>0</v>
      </c>
      <c r="N28" s="17" t="n">
        <v>1</v>
      </c>
      <c r="O28" s="17" t="n">
        <v>1</v>
      </c>
      <c r="P28" s="18" t="n">
        <v>0</v>
      </c>
      <c r="Q28" s="17" t="n">
        <v>1</v>
      </c>
      <c r="R28" s="18" t="n">
        <v>0</v>
      </c>
      <c r="S28" s="17" t="n">
        <v>1</v>
      </c>
      <c r="T28" s="17" t="n">
        <v>1</v>
      </c>
      <c r="U28" s="17" t="n">
        <v>1</v>
      </c>
      <c r="V28" s="17" t="n">
        <v>1</v>
      </c>
      <c r="W28" s="17" t="n">
        <v>1</v>
      </c>
      <c r="X28" s="17" t="n">
        <v>1</v>
      </c>
      <c r="Y28" s="18" t="n">
        <v>0</v>
      </c>
      <c r="Z28" s="17" t="n">
        <v>1</v>
      </c>
      <c r="AA28" s="17" t="n">
        <v>1</v>
      </c>
      <c r="AB28" s="17" t="n">
        <v>1</v>
      </c>
      <c r="AC28" s="17" t="n">
        <v>1</v>
      </c>
      <c r="AD28" s="17" t="n">
        <v>1</v>
      </c>
      <c r="AE28" s="19" t="n">
        <f aca="false">SUM(F28:AD28)</f>
        <v>19</v>
      </c>
      <c r="AF28" s="10" t="n">
        <f aca="false">AE28/25</f>
        <v>0.76</v>
      </c>
      <c r="AG28" s="5" t="s">
        <v>179</v>
      </c>
    </row>
    <row r="29" customFormat="false" ht="15" hidden="false" customHeight="false" outlineLevel="0" collapsed="false">
      <c r="A29" s="14" t="n">
        <v>25</v>
      </c>
      <c r="B29" s="5" t="s">
        <v>255</v>
      </c>
      <c r="C29" s="5" t="s">
        <v>256</v>
      </c>
      <c r="D29" s="14" t="s">
        <v>166</v>
      </c>
      <c r="E29" s="16" t="n">
        <v>46259.6145022801</v>
      </c>
      <c r="F29" s="18" t="n">
        <v>0</v>
      </c>
      <c r="G29" s="17" t="n">
        <v>1</v>
      </c>
      <c r="H29" s="18" t="n">
        <v>0</v>
      </c>
      <c r="I29" s="17" t="n">
        <v>1</v>
      </c>
      <c r="J29" s="17" t="n">
        <v>1</v>
      </c>
      <c r="K29" s="17" t="n">
        <v>1</v>
      </c>
      <c r="L29" s="17" t="n">
        <v>1</v>
      </c>
      <c r="M29" s="18" t="n">
        <v>0</v>
      </c>
      <c r="N29" s="18" t="n">
        <v>0</v>
      </c>
      <c r="O29" s="17" t="n">
        <v>1</v>
      </c>
      <c r="P29" s="17" t="n">
        <v>1</v>
      </c>
      <c r="Q29" s="17" t="n">
        <v>1</v>
      </c>
      <c r="R29" s="17" t="n">
        <v>1</v>
      </c>
      <c r="S29" s="18" t="n">
        <v>0</v>
      </c>
      <c r="T29" s="17" t="n">
        <v>1</v>
      </c>
      <c r="U29" s="17" t="n">
        <v>1</v>
      </c>
      <c r="V29" s="18" t="n">
        <v>0</v>
      </c>
      <c r="W29" s="17" t="n">
        <v>1</v>
      </c>
      <c r="X29" s="17" t="n">
        <v>1</v>
      </c>
      <c r="Y29" s="17" t="n">
        <v>1</v>
      </c>
      <c r="Z29" s="17" t="n">
        <v>1</v>
      </c>
      <c r="AA29" s="17" t="n">
        <v>1</v>
      </c>
      <c r="AB29" s="17" t="n">
        <v>1</v>
      </c>
      <c r="AC29" s="17" t="n">
        <v>1</v>
      </c>
      <c r="AD29" s="17" t="n">
        <v>1</v>
      </c>
      <c r="AE29" s="19" t="n">
        <f aca="false">SUM(F29:AD29)</f>
        <v>19</v>
      </c>
      <c r="AF29" s="10" t="n">
        <f aca="false">AE29/25</f>
        <v>0.76</v>
      </c>
      <c r="AG29" s="5" t="s">
        <v>179</v>
      </c>
    </row>
    <row r="30" customFormat="false" ht="15" hidden="false" customHeight="false" outlineLevel="0" collapsed="false">
      <c r="A30" s="14" t="n">
        <v>26</v>
      </c>
      <c r="B30" s="5" t="s">
        <v>257</v>
      </c>
      <c r="C30" s="5" t="s">
        <v>258</v>
      </c>
      <c r="D30" s="14" t="s">
        <v>170</v>
      </c>
      <c r="E30" s="16" t="n">
        <v>46259.6146924653</v>
      </c>
      <c r="F30" s="17" t="n">
        <v>1</v>
      </c>
      <c r="G30" s="17" t="n">
        <v>1</v>
      </c>
      <c r="H30" s="17" t="n">
        <v>1</v>
      </c>
      <c r="I30" s="18" t="n">
        <v>0</v>
      </c>
      <c r="J30" s="17" t="n">
        <v>1</v>
      </c>
      <c r="K30" s="17" t="n">
        <v>1</v>
      </c>
      <c r="L30" s="17" t="n">
        <v>1</v>
      </c>
      <c r="M30" s="17" t="n">
        <v>1</v>
      </c>
      <c r="N30" s="17" t="n">
        <v>1</v>
      </c>
      <c r="O30" s="17" t="n">
        <v>1</v>
      </c>
      <c r="P30" s="17" t="n">
        <v>1</v>
      </c>
      <c r="Q30" s="17" t="n">
        <v>1</v>
      </c>
      <c r="R30" s="17" t="n">
        <v>1</v>
      </c>
      <c r="S30" s="17" t="n">
        <v>1</v>
      </c>
      <c r="T30" s="17" t="n">
        <v>1</v>
      </c>
      <c r="U30" s="17" t="n">
        <v>1</v>
      </c>
      <c r="V30" s="18" t="n">
        <v>0</v>
      </c>
      <c r="W30" s="17" t="n">
        <v>1</v>
      </c>
      <c r="X30" s="18" t="n">
        <v>0</v>
      </c>
      <c r="Y30" s="18" t="n">
        <v>0</v>
      </c>
      <c r="Z30" s="17" t="n">
        <v>1</v>
      </c>
      <c r="AA30" s="17" t="n">
        <v>1</v>
      </c>
      <c r="AB30" s="18" t="n">
        <v>0</v>
      </c>
      <c r="AC30" s="18" t="n">
        <v>0</v>
      </c>
      <c r="AD30" s="17" t="n">
        <v>1</v>
      </c>
      <c r="AE30" s="19" t="n">
        <f aca="false">SUM(F30:AD30)</f>
        <v>19</v>
      </c>
      <c r="AF30" s="10" t="n">
        <f aca="false">AE30/25</f>
        <v>0.76</v>
      </c>
      <c r="AG30" s="5" t="s">
        <v>179</v>
      </c>
    </row>
    <row r="31" customFormat="false" ht="15" hidden="false" customHeight="false" outlineLevel="0" collapsed="false">
      <c r="A31" s="14" t="n">
        <v>27</v>
      </c>
      <c r="B31" s="5" t="s">
        <v>259</v>
      </c>
      <c r="C31" s="5" t="s">
        <v>260</v>
      </c>
      <c r="D31" s="14" t="s">
        <v>170</v>
      </c>
      <c r="E31" s="16" t="n">
        <v>46259.6150073958</v>
      </c>
      <c r="F31" s="18" t="n">
        <v>0</v>
      </c>
      <c r="G31" s="18" t="n">
        <v>0</v>
      </c>
      <c r="H31" s="18" t="n">
        <v>0</v>
      </c>
      <c r="I31" s="17" t="n">
        <v>1</v>
      </c>
      <c r="J31" s="17" t="n">
        <v>1</v>
      </c>
      <c r="K31" s="17" t="n">
        <v>1</v>
      </c>
      <c r="L31" s="17" t="n">
        <v>1</v>
      </c>
      <c r="M31" s="18" t="n">
        <v>0</v>
      </c>
      <c r="N31" s="17" t="n">
        <v>1</v>
      </c>
      <c r="O31" s="17" t="n">
        <v>1</v>
      </c>
      <c r="P31" s="18" t="n">
        <v>0</v>
      </c>
      <c r="Q31" s="17" t="n">
        <v>1</v>
      </c>
      <c r="R31" s="17" t="n">
        <v>1</v>
      </c>
      <c r="S31" s="18" t="n">
        <v>0</v>
      </c>
      <c r="T31" s="17" t="n">
        <v>1</v>
      </c>
      <c r="U31" s="17" t="n">
        <v>1</v>
      </c>
      <c r="V31" s="17" t="n">
        <v>1</v>
      </c>
      <c r="W31" s="17" t="n">
        <v>1</v>
      </c>
      <c r="X31" s="17" t="n">
        <v>1</v>
      </c>
      <c r="Y31" s="17" t="n">
        <v>1</v>
      </c>
      <c r="Z31" s="17" t="n">
        <v>1</v>
      </c>
      <c r="AA31" s="17" t="n">
        <v>1</v>
      </c>
      <c r="AB31" s="17" t="n">
        <v>1</v>
      </c>
      <c r="AC31" s="17" t="n">
        <v>1</v>
      </c>
      <c r="AD31" s="17" t="n">
        <v>1</v>
      </c>
      <c r="AE31" s="19" t="n">
        <f aca="false">SUM(F31:AD31)</f>
        <v>19</v>
      </c>
      <c r="AF31" s="10" t="n">
        <f aca="false">AE31/25</f>
        <v>0.76</v>
      </c>
      <c r="AG31" s="5" t="s">
        <v>179</v>
      </c>
    </row>
    <row r="32" customFormat="false" ht="15" hidden="false" customHeight="false" outlineLevel="0" collapsed="false">
      <c r="A32" s="14" t="n">
        <v>28</v>
      </c>
      <c r="B32" s="5" t="s">
        <v>261</v>
      </c>
      <c r="C32" s="5" t="s">
        <v>178</v>
      </c>
      <c r="D32" s="14" t="s">
        <v>170</v>
      </c>
      <c r="E32" s="16" t="n">
        <v>46259.6084300694</v>
      </c>
      <c r="F32" s="17" t="n">
        <v>1</v>
      </c>
      <c r="G32" s="18" t="n">
        <v>0</v>
      </c>
      <c r="H32" s="17" t="n">
        <v>1</v>
      </c>
      <c r="I32" s="18" t="n">
        <v>0</v>
      </c>
      <c r="J32" s="17" t="n">
        <v>1</v>
      </c>
      <c r="K32" s="17" t="n">
        <v>1</v>
      </c>
      <c r="L32" s="18" t="n">
        <v>0</v>
      </c>
      <c r="M32" s="17" t="n">
        <v>1</v>
      </c>
      <c r="N32" s="17" t="n">
        <v>1</v>
      </c>
      <c r="O32" s="17" t="n">
        <v>1</v>
      </c>
      <c r="P32" s="17" t="n">
        <v>1</v>
      </c>
      <c r="Q32" s="17" t="n">
        <v>1</v>
      </c>
      <c r="R32" s="18" t="n">
        <v>0</v>
      </c>
      <c r="S32" s="17" t="n">
        <v>1</v>
      </c>
      <c r="T32" s="18" t="n">
        <v>0</v>
      </c>
      <c r="U32" s="18" t="n">
        <v>0</v>
      </c>
      <c r="V32" s="18" t="n">
        <v>0</v>
      </c>
      <c r="W32" s="17" t="n">
        <v>1</v>
      </c>
      <c r="X32" s="17" t="n">
        <v>1</v>
      </c>
      <c r="Y32" s="17" t="n">
        <v>1</v>
      </c>
      <c r="Z32" s="17" t="n">
        <v>1</v>
      </c>
      <c r="AA32" s="17" t="n">
        <v>1</v>
      </c>
      <c r="AB32" s="17" t="n">
        <v>1</v>
      </c>
      <c r="AC32" s="17" t="n">
        <v>1</v>
      </c>
      <c r="AD32" s="17" t="n">
        <v>1</v>
      </c>
      <c r="AE32" s="19" t="n">
        <f aca="false">SUM(F32:AD32)</f>
        <v>18</v>
      </c>
      <c r="AF32" s="10" t="n">
        <f aca="false">AE32/25</f>
        <v>0.72</v>
      </c>
      <c r="AG32" s="5" t="s">
        <v>179</v>
      </c>
    </row>
    <row r="33" customFormat="false" ht="15" hidden="false" customHeight="false" outlineLevel="0" collapsed="false">
      <c r="A33" s="14" t="n">
        <v>29</v>
      </c>
      <c r="B33" s="5" t="s">
        <v>194</v>
      </c>
      <c r="C33" s="5" t="s">
        <v>262</v>
      </c>
      <c r="D33" s="14" t="s">
        <v>170</v>
      </c>
      <c r="E33" s="16" t="n">
        <v>46259.6089330556</v>
      </c>
      <c r="F33" s="17" t="n">
        <v>1</v>
      </c>
      <c r="G33" s="18" t="n">
        <v>0</v>
      </c>
      <c r="H33" s="17" t="n">
        <v>1</v>
      </c>
      <c r="I33" s="17" t="n">
        <v>1</v>
      </c>
      <c r="J33" s="17" t="n">
        <v>1</v>
      </c>
      <c r="K33" s="17" t="n">
        <v>1</v>
      </c>
      <c r="L33" s="18" t="n">
        <v>0</v>
      </c>
      <c r="M33" s="18" t="n">
        <v>0</v>
      </c>
      <c r="N33" s="17" t="n">
        <v>1</v>
      </c>
      <c r="O33" s="17" t="n">
        <v>1</v>
      </c>
      <c r="P33" s="18" t="n">
        <v>0</v>
      </c>
      <c r="Q33" s="18" t="n">
        <v>0</v>
      </c>
      <c r="R33" s="17" t="n">
        <v>1</v>
      </c>
      <c r="S33" s="18" t="n">
        <v>0</v>
      </c>
      <c r="T33" s="17" t="n">
        <v>1</v>
      </c>
      <c r="U33" s="17" t="n">
        <v>1</v>
      </c>
      <c r="V33" s="18" t="n">
        <v>0</v>
      </c>
      <c r="W33" s="17" t="n">
        <v>1</v>
      </c>
      <c r="X33" s="17" t="n">
        <v>1</v>
      </c>
      <c r="Y33" s="17" t="n">
        <v>1</v>
      </c>
      <c r="Z33" s="17" t="n">
        <v>1</v>
      </c>
      <c r="AA33" s="17" t="n">
        <v>1</v>
      </c>
      <c r="AB33" s="17" t="n">
        <v>1</v>
      </c>
      <c r="AC33" s="17" t="n">
        <v>1</v>
      </c>
      <c r="AD33" s="17" t="n">
        <v>1</v>
      </c>
      <c r="AE33" s="19" t="n">
        <f aca="false">SUM(F33:AD33)</f>
        <v>18</v>
      </c>
      <c r="AF33" s="10" t="n">
        <f aca="false">AE33/25</f>
        <v>0.72</v>
      </c>
      <c r="AG33" s="5" t="s">
        <v>179</v>
      </c>
    </row>
    <row r="34" customFormat="false" ht="15" hidden="false" customHeight="false" outlineLevel="0" collapsed="false">
      <c r="A34" s="14" t="n">
        <v>30</v>
      </c>
      <c r="B34" s="5" t="s">
        <v>207</v>
      </c>
      <c r="C34" s="5" t="s">
        <v>183</v>
      </c>
      <c r="D34" s="14" t="s">
        <v>166</v>
      </c>
      <c r="E34" s="16" t="n">
        <v>46259.610408912</v>
      </c>
      <c r="F34" s="17" t="n">
        <v>1</v>
      </c>
      <c r="G34" s="18" t="n">
        <v>0</v>
      </c>
      <c r="H34" s="18" t="n">
        <v>0</v>
      </c>
      <c r="I34" s="18" t="n">
        <v>0</v>
      </c>
      <c r="J34" s="17" t="n">
        <v>1</v>
      </c>
      <c r="K34" s="17" t="n">
        <v>1</v>
      </c>
      <c r="L34" s="17" t="n">
        <v>1</v>
      </c>
      <c r="M34" s="18" t="n">
        <v>0</v>
      </c>
      <c r="N34" s="17" t="n">
        <v>1</v>
      </c>
      <c r="O34" s="17" t="n">
        <v>1</v>
      </c>
      <c r="P34" s="17" t="n">
        <v>1</v>
      </c>
      <c r="Q34" s="18" t="n">
        <v>0</v>
      </c>
      <c r="R34" s="17" t="n">
        <v>1</v>
      </c>
      <c r="S34" s="17" t="n">
        <v>1</v>
      </c>
      <c r="T34" s="18" t="n">
        <v>0</v>
      </c>
      <c r="U34" s="17" t="n">
        <v>1</v>
      </c>
      <c r="V34" s="18" t="n">
        <v>0</v>
      </c>
      <c r="W34" s="17" t="n">
        <v>1</v>
      </c>
      <c r="X34" s="17" t="n">
        <v>1</v>
      </c>
      <c r="Y34" s="17" t="n">
        <v>1</v>
      </c>
      <c r="Z34" s="17" t="n">
        <v>1</v>
      </c>
      <c r="AA34" s="17" t="n">
        <v>1</v>
      </c>
      <c r="AB34" s="17" t="n">
        <v>1</v>
      </c>
      <c r="AC34" s="17" t="n">
        <v>1</v>
      </c>
      <c r="AD34" s="17" t="n">
        <v>1</v>
      </c>
      <c r="AE34" s="19" t="n">
        <f aca="false">SUM(F34:AD34)</f>
        <v>18</v>
      </c>
      <c r="AF34" s="10" t="n">
        <f aca="false">AE34/25</f>
        <v>0.72</v>
      </c>
      <c r="AG34" s="5" t="s">
        <v>179</v>
      </c>
    </row>
    <row r="35" customFormat="false" ht="15" hidden="false" customHeight="false" outlineLevel="0" collapsed="false">
      <c r="A35" s="14" t="n">
        <v>31</v>
      </c>
      <c r="B35" s="5" t="s">
        <v>263</v>
      </c>
      <c r="C35" s="5" t="s">
        <v>242</v>
      </c>
      <c r="D35" s="14" t="s">
        <v>166</v>
      </c>
      <c r="E35" s="16" t="n">
        <v>46259.6171723264</v>
      </c>
      <c r="F35" s="17" t="n">
        <v>1</v>
      </c>
      <c r="G35" s="18" t="n">
        <v>0</v>
      </c>
      <c r="H35" s="17" t="n">
        <v>1</v>
      </c>
      <c r="I35" s="17" t="n">
        <v>1</v>
      </c>
      <c r="J35" s="17" t="n">
        <v>1</v>
      </c>
      <c r="K35" s="17" t="n">
        <v>1</v>
      </c>
      <c r="L35" s="17" t="n">
        <v>1</v>
      </c>
      <c r="M35" s="17" t="n">
        <v>1</v>
      </c>
      <c r="N35" s="17" t="n">
        <v>1</v>
      </c>
      <c r="O35" s="17" t="n">
        <v>1</v>
      </c>
      <c r="P35" s="17" t="n">
        <v>1</v>
      </c>
      <c r="Q35" s="17" t="n">
        <v>1</v>
      </c>
      <c r="R35" s="17" t="n">
        <v>1</v>
      </c>
      <c r="S35" s="17" t="n">
        <v>1</v>
      </c>
      <c r="T35" s="18" t="n">
        <v>0</v>
      </c>
      <c r="U35" s="17" t="n">
        <v>1</v>
      </c>
      <c r="V35" s="18" t="n">
        <v>0</v>
      </c>
      <c r="W35" s="17" t="n">
        <v>1</v>
      </c>
      <c r="X35" s="17" t="n">
        <v>1</v>
      </c>
      <c r="Y35" s="17" t="n">
        <v>1</v>
      </c>
      <c r="Z35" s="18" t="n">
        <v>0</v>
      </c>
      <c r="AA35" s="17" t="n">
        <v>1</v>
      </c>
      <c r="AB35" s="18" t="n">
        <v>0</v>
      </c>
      <c r="AC35" s="18" t="n">
        <v>0</v>
      </c>
      <c r="AD35" s="18" t="n">
        <v>0</v>
      </c>
      <c r="AE35" s="19" t="n">
        <f aca="false">SUM(F35:AD35)</f>
        <v>18</v>
      </c>
      <c r="AF35" s="10" t="n">
        <f aca="false">AE35/25</f>
        <v>0.72</v>
      </c>
      <c r="AG35" s="5" t="s">
        <v>179</v>
      </c>
    </row>
    <row r="36" customFormat="false" ht="15" hidden="false" customHeight="false" outlineLevel="0" collapsed="false">
      <c r="A36" s="14" t="n">
        <v>32</v>
      </c>
      <c r="B36" s="5" t="s">
        <v>180</v>
      </c>
      <c r="C36" s="5" t="s">
        <v>181</v>
      </c>
      <c r="D36" s="14" t="s">
        <v>166</v>
      </c>
      <c r="E36" s="16" t="n">
        <v>46259.6088511806</v>
      </c>
      <c r="F36" s="17" t="n">
        <v>1</v>
      </c>
      <c r="G36" s="17" t="n">
        <v>1</v>
      </c>
      <c r="H36" s="17" t="n">
        <v>1</v>
      </c>
      <c r="I36" s="17" t="n">
        <v>1</v>
      </c>
      <c r="J36" s="17" t="n">
        <v>1</v>
      </c>
      <c r="K36" s="17" t="n">
        <v>1</v>
      </c>
      <c r="L36" s="17" t="n">
        <v>1</v>
      </c>
      <c r="M36" s="17" t="n">
        <v>1</v>
      </c>
      <c r="N36" s="17" t="n">
        <v>1</v>
      </c>
      <c r="O36" s="17" t="n">
        <v>1</v>
      </c>
      <c r="P36" s="17" t="n">
        <v>1</v>
      </c>
      <c r="Q36" s="17" t="n">
        <v>1</v>
      </c>
      <c r="R36" s="18" t="n">
        <v>0</v>
      </c>
      <c r="S36" s="18" t="n">
        <v>0</v>
      </c>
      <c r="T36" s="17" t="n">
        <v>1</v>
      </c>
      <c r="U36" s="17" t="n">
        <v>1</v>
      </c>
      <c r="V36" s="18" t="n">
        <v>0</v>
      </c>
      <c r="W36" s="17" t="n">
        <v>1</v>
      </c>
      <c r="X36" s="18" t="n">
        <v>0</v>
      </c>
      <c r="Y36" s="18" t="n">
        <v>0</v>
      </c>
      <c r="Z36" s="17" t="n">
        <v>1</v>
      </c>
      <c r="AA36" s="18" t="n">
        <v>0</v>
      </c>
      <c r="AB36" s="18" t="n">
        <v>0</v>
      </c>
      <c r="AC36" s="18" t="n">
        <v>0</v>
      </c>
      <c r="AD36" s="17" t="n">
        <v>1</v>
      </c>
      <c r="AE36" s="19" t="n">
        <f aca="false">SUM(F36:AD36)</f>
        <v>17</v>
      </c>
      <c r="AF36" s="10" t="n">
        <f aca="false">AE36/25</f>
        <v>0.68</v>
      </c>
      <c r="AG36" s="5" t="s">
        <v>179</v>
      </c>
    </row>
    <row r="37" customFormat="false" ht="15" hidden="false" customHeight="false" outlineLevel="0" collapsed="false">
      <c r="A37" s="14" t="n">
        <v>33</v>
      </c>
      <c r="B37" s="5" t="s">
        <v>188</v>
      </c>
      <c r="C37" s="5" t="s">
        <v>189</v>
      </c>
      <c r="D37" s="14" t="s">
        <v>170</v>
      </c>
      <c r="E37" s="16" t="n">
        <v>46259.6100326505</v>
      </c>
      <c r="F37" s="17" t="n">
        <v>1</v>
      </c>
      <c r="G37" s="17" t="n">
        <v>1</v>
      </c>
      <c r="H37" s="17" t="n">
        <v>1</v>
      </c>
      <c r="I37" s="17" t="n">
        <v>1</v>
      </c>
      <c r="J37" s="18" t="n">
        <v>0</v>
      </c>
      <c r="K37" s="17" t="n">
        <v>1</v>
      </c>
      <c r="L37" s="17" t="n">
        <v>1</v>
      </c>
      <c r="M37" s="17" t="n">
        <v>1</v>
      </c>
      <c r="N37" s="17" t="n">
        <v>1</v>
      </c>
      <c r="O37" s="17" t="n">
        <v>1</v>
      </c>
      <c r="P37" s="18" t="n">
        <v>0</v>
      </c>
      <c r="Q37" s="18" t="n">
        <v>0</v>
      </c>
      <c r="R37" s="17" t="n">
        <v>1</v>
      </c>
      <c r="S37" s="18" t="n">
        <v>0</v>
      </c>
      <c r="T37" s="17" t="n">
        <v>1</v>
      </c>
      <c r="U37" s="17" t="n">
        <v>1</v>
      </c>
      <c r="V37" s="17" t="n">
        <v>1</v>
      </c>
      <c r="W37" s="18" t="n">
        <v>0</v>
      </c>
      <c r="X37" s="17" t="n">
        <v>1</v>
      </c>
      <c r="Y37" s="18" t="n">
        <v>0</v>
      </c>
      <c r="Z37" s="17" t="n">
        <v>1</v>
      </c>
      <c r="AA37" s="17" t="n">
        <v>1</v>
      </c>
      <c r="AB37" s="18" t="n">
        <v>0</v>
      </c>
      <c r="AC37" s="18" t="n">
        <v>0</v>
      </c>
      <c r="AD37" s="17" t="n">
        <v>1</v>
      </c>
      <c r="AE37" s="19" t="n">
        <f aca="false">SUM(F37:AD37)</f>
        <v>17</v>
      </c>
      <c r="AF37" s="10" t="n">
        <f aca="false">AE37/25</f>
        <v>0.68</v>
      </c>
      <c r="AG37" s="5" t="s">
        <v>179</v>
      </c>
    </row>
    <row r="38" customFormat="false" ht="15" hidden="false" customHeight="false" outlineLevel="0" collapsed="false">
      <c r="A38" s="14" t="n">
        <v>34</v>
      </c>
      <c r="B38" s="5" t="s">
        <v>264</v>
      </c>
      <c r="C38" s="5" t="s">
        <v>265</v>
      </c>
      <c r="D38" s="14" t="s">
        <v>170</v>
      </c>
      <c r="E38" s="16" t="n">
        <v>46259.6151454051</v>
      </c>
      <c r="F38" s="17" t="n">
        <v>1</v>
      </c>
      <c r="G38" s="18" t="n">
        <v>0</v>
      </c>
      <c r="H38" s="17" t="n">
        <v>1</v>
      </c>
      <c r="I38" s="17" t="n">
        <v>1</v>
      </c>
      <c r="J38" s="17" t="n">
        <v>1</v>
      </c>
      <c r="K38" s="17" t="n">
        <v>1</v>
      </c>
      <c r="L38" s="18" t="n">
        <v>0</v>
      </c>
      <c r="M38" s="17" t="n">
        <v>1</v>
      </c>
      <c r="N38" s="17" t="n">
        <v>1</v>
      </c>
      <c r="O38" s="17" t="n">
        <v>1</v>
      </c>
      <c r="P38" s="17" t="n">
        <v>1</v>
      </c>
      <c r="Q38" s="17" t="n">
        <v>1</v>
      </c>
      <c r="R38" s="17" t="n">
        <v>1</v>
      </c>
      <c r="S38" s="17" t="n">
        <v>1</v>
      </c>
      <c r="T38" s="18" t="n">
        <v>0</v>
      </c>
      <c r="U38" s="18" t="n">
        <v>0</v>
      </c>
      <c r="V38" s="18" t="n">
        <v>0</v>
      </c>
      <c r="W38" s="17" t="n">
        <v>1</v>
      </c>
      <c r="X38" s="17" t="n">
        <v>1</v>
      </c>
      <c r="Y38" s="17" t="n">
        <v>1</v>
      </c>
      <c r="Z38" s="17" t="n">
        <v>1</v>
      </c>
      <c r="AA38" s="17" t="n">
        <v>1</v>
      </c>
      <c r="AB38" s="18" t="n">
        <v>0</v>
      </c>
      <c r="AC38" s="18" t="n">
        <v>0</v>
      </c>
      <c r="AD38" s="18" t="n">
        <v>0</v>
      </c>
      <c r="AE38" s="19" t="n">
        <f aca="false">SUM(F38:AD38)</f>
        <v>17</v>
      </c>
      <c r="AF38" s="10" t="n">
        <f aca="false">AE38/25</f>
        <v>0.68</v>
      </c>
      <c r="AG38" s="5" t="s">
        <v>179</v>
      </c>
    </row>
    <row r="39" customFormat="false" ht="15" hidden="false" customHeight="false" outlineLevel="0" collapsed="false">
      <c r="A39" s="14" t="n">
        <v>35</v>
      </c>
      <c r="B39" s="5" t="s">
        <v>215</v>
      </c>
      <c r="C39" s="5" t="s">
        <v>216</v>
      </c>
      <c r="D39" s="14" t="s">
        <v>166</v>
      </c>
      <c r="E39" s="16" t="n">
        <v>46259.6177109491</v>
      </c>
      <c r="F39" s="18" t="n">
        <v>0</v>
      </c>
      <c r="G39" s="18" t="n">
        <v>0</v>
      </c>
      <c r="H39" s="17" t="n">
        <v>1</v>
      </c>
      <c r="I39" s="17" t="n">
        <v>1</v>
      </c>
      <c r="J39" s="17" t="n">
        <v>1</v>
      </c>
      <c r="K39" s="17" t="n">
        <v>1</v>
      </c>
      <c r="L39" s="17" t="n">
        <v>1</v>
      </c>
      <c r="M39" s="18" t="n">
        <v>0</v>
      </c>
      <c r="N39" s="17" t="n">
        <v>1</v>
      </c>
      <c r="O39" s="17" t="n">
        <v>1</v>
      </c>
      <c r="P39" s="17" t="n">
        <v>1</v>
      </c>
      <c r="Q39" s="17" t="n">
        <v>1</v>
      </c>
      <c r="R39" s="18" t="n">
        <v>0</v>
      </c>
      <c r="S39" s="18" t="n">
        <v>0</v>
      </c>
      <c r="T39" s="18" t="n">
        <v>0</v>
      </c>
      <c r="U39" s="17" t="n">
        <v>1</v>
      </c>
      <c r="V39" s="17" t="n">
        <v>1</v>
      </c>
      <c r="W39" s="17" t="n">
        <v>1</v>
      </c>
      <c r="X39" s="17" t="n">
        <v>1</v>
      </c>
      <c r="Y39" s="17" t="n">
        <v>1</v>
      </c>
      <c r="Z39" s="17" t="n">
        <v>1</v>
      </c>
      <c r="AA39" s="18" t="n">
        <v>0</v>
      </c>
      <c r="AB39" s="17" t="n">
        <v>1</v>
      </c>
      <c r="AC39" s="17" t="n">
        <v>1</v>
      </c>
      <c r="AD39" s="18" t="n">
        <v>0</v>
      </c>
      <c r="AE39" s="19" t="n">
        <f aca="false">SUM(F39:AD39)</f>
        <v>17</v>
      </c>
      <c r="AF39" s="10" t="n">
        <f aca="false">AE39/25</f>
        <v>0.68</v>
      </c>
      <c r="AG39" s="5" t="s">
        <v>179</v>
      </c>
    </row>
    <row r="40" customFormat="false" ht="15" hidden="false" customHeight="false" outlineLevel="0" collapsed="false">
      <c r="A40" s="14" t="n">
        <v>36</v>
      </c>
      <c r="B40" s="5" t="s">
        <v>205</v>
      </c>
      <c r="C40" s="5" t="s">
        <v>206</v>
      </c>
      <c r="D40" s="14" t="s">
        <v>170</v>
      </c>
      <c r="E40" s="16" t="n">
        <v>46259.6137133912</v>
      </c>
      <c r="F40" s="18" t="n">
        <v>0</v>
      </c>
      <c r="G40" s="18" t="n">
        <v>0</v>
      </c>
      <c r="H40" s="17" t="n">
        <v>1</v>
      </c>
      <c r="I40" s="17" t="n">
        <v>1</v>
      </c>
      <c r="J40" s="17" t="n">
        <v>1</v>
      </c>
      <c r="K40" s="18" t="n">
        <v>0</v>
      </c>
      <c r="L40" s="18" t="n">
        <v>0</v>
      </c>
      <c r="M40" s="18" t="n">
        <v>0</v>
      </c>
      <c r="N40" s="17" t="n">
        <v>1</v>
      </c>
      <c r="O40" s="17" t="n">
        <v>1</v>
      </c>
      <c r="P40" s="17" t="n">
        <v>1</v>
      </c>
      <c r="Q40" s="18" t="n">
        <v>0</v>
      </c>
      <c r="R40" s="17" t="n">
        <v>1</v>
      </c>
      <c r="S40" s="18" t="n">
        <v>0</v>
      </c>
      <c r="T40" s="18" t="n">
        <v>0</v>
      </c>
      <c r="U40" s="17" t="n">
        <v>1</v>
      </c>
      <c r="V40" s="17" t="n">
        <v>1</v>
      </c>
      <c r="W40" s="17" t="n">
        <v>1</v>
      </c>
      <c r="X40" s="17" t="n">
        <v>1</v>
      </c>
      <c r="Y40" s="17" t="n">
        <v>1</v>
      </c>
      <c r="Z40" s="17" t="n">
        <v>1</v>
      </c>
      <c r="AA40" s="18" t="n">
        <v>0</v>
      </c>
      <c r="AB40" s="17" t="n">
        <v>1</v>
      </c>
      <c r="AC40" s="18" t="n">
        <v>0</v>
      </c>
      <c r="AD40" s="17" t="n">
        <v>1</v>
      </c>
      <c r="AE40" s="19" t="n">
        <f aca="false">SUM(F40:AD40)</f>
        <v>15</v>
      </c>
      <c r="AF40" s="10" t="n">
        <f aca="false">AE40/25</f>
        <v>0.6</v>
      </c>
      <c r="AG40" s="5" t="s">
        <v>179</v>
      </c>
    </row>
    <row r="41" customFormat="false" ht="15" hidden="false" customHeight="false" outlineLevel="0" collapsed="false">
      <c r="A41" s="14" t="n">
        <v>37</v>
      </c>
      <c r="B41" s="5" t="s">
        <v>266</v>
      </c>
      <c r="C41" s="5" t="s">
        <v>267</v>
      </c>
      <c r="D41" s="14" t="s">
        <v>166</v>
      </c>
      <c r="E41" s="16" t="n">
        <v>46259.6111919907</v>
      </c>
      <c r="F41" s="18" t="n">
        <v>0</v>
      </c>
      <c r="G41" s="18" t="n">
        <v>0</v>
      </c>
      <c r="H41" s="18" t="n">
        <v>0</v>
      </c>
      <c r="I41" s="18" t="n">
        <v>0</v>
      </c>
      <c r="J41" s="17" t="n">
        <v>1</v>
      </c>
      <c r="K41" s="17" t="n">
        <v>1</v>
      </c>
      <c r="L41" s="17" t="n">
        <v>1</v>
      </c>
      <c r="M41" s="18" t="n">
        <v>0</v>
      </c>
      <c r="N41" s="17" t="n">
        <v>1</v>
      </c>
      <c r="O41" s="17" t="n">
        <v>1</v>
      </c>
      <c r="P41" s="17" t="n">
        <v>1</v>
      </c>
      <c r="Q41" s="17" t="n">
        <v>1</v>
      </c>
      <c r="R41" s="18" t="n">
        <v>0</v>
      </c>
      <c r="S41" s="17" t="n">
        <v>1</v>
      </c>
      <c r="T41" s="18" t="n">
        <v>0</v>
      </c>
      <c r="U41" s="17" t="n">
        <v>1</v>
      </c>
      <c r="V41" s="18" t="n">
        <v>0</v>
      </c>
      <c r="W41" s="17" t="n">
        <v>1</v>
      </c>
      <c r="X41" s="17" t="n">
        <v>1</v>
      </c>
      <c r="Y41" s="18" t="n">
        <v>0</v>
      </c>
      <c r="Z41" s="17" t="n">
        <v>1</v>
      </c>
      <c r="AA41" s="17" t="n">
        <v>1</v>
      </c>
      <c r="AB41" s="17" t="n">
        <v>1</v>
      </c>
      <c r="AC41" s="18" t="n">
        <v>0</v>
      </c>
      <c r="AD41" s="18" t="n">
        <v>0</v>
      </c>
      <c r="AE41" s="19" t="n">
        <f aca="false">SUM(F41:AD41)</f>
        <v>14</v>
      </c>
      <c r="AF41" s="10" t="n">
        <f aca="false">AE41/25</f>
        <v>0.56</v>
      </c>
      <c r="AG41" s="5" t="s">
        <v>196</v>
      </c>
    </row>
    <row r="42" customFormat="false" ht="15" hidden="false" customHeight="false" outlineLevel="0" collapsed="false">
      <c r="A42" s="14" t="n">
        <v>38</v>
      </c>
      <c r="B42" s="5" t="s">
        <v>223</v>
      </c>
      <c r="C42" s="5" t="s">
        <v>218</v>
      </c>
      <c r="D42" s="14" t="s">
        <v>170</v>
      </c>
      <c r="E42" s="16" t="n">
        <v>46259.6101900116</v>
      </c>
      <c r="F42" s="17" t="n">
        <v>1</v>
      </c>
      <c r="G42" s="18" t="n">
        <v>0</v>
      </c>
      <c r="H42" s="18" t="n">
        <v>0</v>
      </c>
      <c r="I42" s="18" t="n">
        <v>0</v>
      </c>
      <c r="J42" s="18" t="n">
        <v>0</v>
      </c>
      <c r="K42" s="18" t="n">
        <v>0</v>
      </c>
      <c r="L42" s="17" t="n">
        <v>1</v>
      </c>
      <c r="M42" s="18" t="n">
        <v>0</v>
      </c>
      <c r="N42" s="17" t="n">
        <v>1</v>
      </c>
      <c r="O42" s="18" t="n">
        <v>0</v>
      </c>
      <c r="P42" s="17" t="n">
        <v>1</v>
      </c>
      <c r="Q42" s="18" t="n">
        <v>0</v>
      </c>
      <c r="R42" s="17" t="n">
        <v>1</v>
      </c>
      <c r="S42" s="18" t="n">
        <v>0</v>
      </c>
      <c r="T42" s="18" t="n">
        <v>0</v>
      </c>
      <c r="U42" s="17" t="n">
        <v>1</v>
      </c>
      <c r="V42" s="17" t="n">
        <v>1</v>
      </c>
      <c r="W42" s="17" t="n">
        <v>1</v>
      </c>
      <c r="X42" s="17" t="n">
        <v>1</v>
      </c>
      <c r="Y42" s="18" t="n">
        <v>0</v>
      </c>
      <c r="Z42" s="17" t="n">
        <v>1</v>
      </c>
      <c r="AA42" s="17" t="n">
        <v>1</v>
      </c>
      <c r="AB42" s="17" t="n">
        <v>1</v>
      </c>
      <c r="AC42" s="18" t="n">
        <v>0</v>
      </c>
      <c r="AD42" s="17" t="n">
        <v>1</v>
      </c>
      <c r="AE42" s="19" t="n">
        <f aca="false">SUM(F42:AD42)</f>
        <v>13</v>
      </c>
      <c r="AF42" s="10" t="n">
        <f aca="false">AE42/25</f>
        <v>0.52</v>
      </c>
      <c r="AG42" s="5" t="s">
        <v>196</v>
      </c>
    </row>
    <row r="43" customFormat="false" ht="15" hidden="false" customHeight="false" outlineLevel="0" collapsed="false">
      <c r="A43" s="14" t="n">
        <v>39</v>
      </c>
      <c r="B43" s="5" t="s">
        <v>210</v>
      </c>
      <c r="C43" s="5" t="s">
        <v>211</v>
      </c>
      <c r="D43" s="14" t="s">
        <v>170</v>
      </c>
      <c r="E43" s="16" t="n">
        <v>46259.6109390278</v>
      </c>
      <c r="F43" s="17" t="n">
        <v>1</v>
      </c>
      <c r="G43" s="18" t="n">
        <v>0</v>
      </c>
      <c r="H43" s="18" t="n">
        <v>0</v>
      </c>
      <c r="I43" s="18" t="n">
        <v>0</v>
      </c>
      <c r="J43" s="17" t="n">
        <v>1</v>
      </c>
      <c r="K43" s="17" t="n">
        <v>1</v>
      </c>
      <c r="L43" s="17" t="n">
        <v>1</v>
      </c>
      <c r="M43" s="18" t="n">
        <v>0</v>
      </c>
      <c r="N43" s="17" t="n">
        <v>1</v>
      </c>
      <c r="O43" s="18" t="n">
        <v>0</v>
      </c>
      <c r="P43" s="18" t="n">
        <v>0</v>
      </c>
      <c r="Q43" s="18" t="n">
        <v>0</v>
      </c>
      <c r="R43" s="18" t="n">
        <v>0</v>
      </c>
      <c r="S43" s="18" t="n">
        <v>0</v>
      </c>
      <c r="T43" s="18" t="n">
        <v>0</v>
      </c>
      <c r="U43" s="17" t="n">
        <v>1</v>
      </c>
      <c r="V43" s="17" t="n">
        <v>1</v>
      </c>
      <c r="W43" s="17" t="n">
        <v>1</v>
      </c>
      <c r="X43" s="18" t="n">
        <v>0</v>
      </c>
      <c r="Y43" s="18" t="n">
        <v>0</v>
      </c>
      <c r="Z43" s="17" t="n">
        <v>1</v>
      </c>
      <c r="AA43" s="17" t="n">
        <v>1</v>
      </c>
      <c r="AB43" s="17" t="n">
        <v>1</v>
      </c>
      <c r="AC43" s="17" t="n">
        <v>1</v>
      </c>
      <c r="AD43" s="17" t="n">
        <v>1</v>
      </c>
      <c r="AE43" s="19" t="n">
        <f aca="false">SUM(F43:AD43)</f>
        <v>13</v>
      </c>
      <c r="AF43" s="10" t="n">
        <f aca="false">AE43/25</f>
        <v>0.52</v>
      </c>
      <c r="AG43" s="5" t="s">
        <v>196</v>
      </c>
    </row>
    <row r="44" customFormat="false" ht="15" hidden="false" customHeight="false" outlineLevel="0" collapsed="false">
      <c r="A44" s="14" t="n">
        <v>40</v>
      </c>
      <c r="B44" s="5" t="s">
        <v>268</v>
      </c>
      <c r="C44" s="5" t="s">
        <v>269</v>
      </c>
      <c r="D44" s="14" t="s">
        <v>166</v>
      </c>
      <c r="E44" s="16" t="n">
        <v>46259.6104992708</v>
      </c>
      <c r="F44" s="17" t="n">
        <v>1</v>
      </c>
      <c r="G44" s="18" t="n">
        <v>0</v>
      </c>
      <c r="H44" s="18" t="n">
        <v>0</v>
      </c>
      <c r="I44" s="18" t="n">
        <v>0</v>
      </c>
      <c r="J44" s="18" t="n">
        <v>0</v>
      </c>
      <c r="K44" s="17" t="n">
        <v>1</v>
      </c>
      <c r="L44" s="18" t="n">
        <v>0</v>
      </c>
      <c r="M44" s="18" t="n">
        <v>0</v>
      </c>
      <c r="N44" s="18" t="n">
        <v>0</v>
      </c>
      <c r="O44" s="17" t="n">
        <v>1</v>
      </c>
      <c r="P44" s="18" t="n">
        <v>0</v>
      </c>
      <c r="Q44" s="18" t="n">
        <v>0</v>
      </c>
      <c r="R44" s="18" t="n">
        <v>0</v>
      </c>
      <c r="S44" s="17" t="n">
        <v>1</v>
      </c>
      <c r="T44" s="17" t="n">
        <v>1</v>
      </c>
      <c r="U44" s="17" t="n">
        <v>1</v>
      </c>
      <c r="V44" s="18" t="n">
        <v>0</v>
      </c>
      <c r="W44" s="18" t="n">
        <v>0</v>
      </c>
      <c r="X44" s="18" t="n">
        <v>0</v>
      </c>
      <c r="Y44" s="17" t="n">
        <v>1</v>
      </c>
      <c r="Z44" s="17" t="n">
        <v>1</v>
      </c>
      <c r="AA44" s="17" t="n">
        <v>1</v>
      </c>
      <c r="AB44" s="17" t="n">
        <v>1</v>
      </c>
      <c r="AC44" s="17" t="n">
        <v>1</v>
      </c>
      <c r="AD44" s="17" t="n">
        <v>1</v>
      </c>
      <c r="AE44" s="19" t="n">
        <f aca="false">SUM(F44:AD44)</f>
        <v>12</v>
      </c>
      <c r="AF44" s="10" t="n">
        <f aca="false">AE44/25</f>
        <v>0.48</v>
      </c>
      <c r="AG44" s="5" t="s">
        <v>196</v>
      </c>
    </row>
    <row r="45" customFormat="false" ht="15" hidden="false" customHeight="false" outlineLevel="0" collapsed="false">
      <c r="A45" s="14" t="n">
        <v>41</v>
      </c>
      <c r="B45" s="5" t="s">
        <v>270</v>
      </c>
      <c r="C45" s="5" t="s">
        <v>271</v>
      </c>
      <c r="D45" s="14" t="s">
        <v>166</v>
      </c>
      <c r="E45" s="16" t="n">
        <v>46259.6115120023</v>
      </c>
      <c r="F45" s="17" t="n">
        <v>1</v>
      </c>
      <c r="G45" s="18" t="n">
        <v>0</v>
      </c>
      <c r="H45" s="17" t="n">
        <v>1</v>
      </c>
      <c r="I45" s="18" t="n">
        <v>0</v>
      </c>
      <c r="J45" s="17" t="n">
        <v>1</v>
      </c>
      <c r="K45" s="18" t="n">
        <v>0</v>
      </c>
      <c r="L45" s="18" t="n">
        <v>0</v>
      </c>
      <c r="M45" s="18" t="n">
        <v>0</v>
      </c>
      <c r="N45" s="17" t="n">
        <v>1</v>
      </c>
      <c r="O45" s="18" t="n">
        <v>0</v>
      </c>
      <c r="P45" s="18" t="n">
        <v>0</v>
      </c>
      <c r="Q45" s="18" t="n">
        <v>0</v>
      </c>
      <c r="R45" s="18" t="n">
        <v>0</v>
      </c>
      <c r="S45" s="18" t="n">
        <v>0</v>
      </c>
      <c r="T45" s="17" t="n">
        <v>1</v>
      </c>
      <c r="U45" s="17" t="n">
        <v>1</v>
      </c>
      <c r="V45" s="18" t="n">
        <v>0</v>
      </c>
      <c r="W45" s="17" t="n">
        <v>1</v>
      </c>
      <c r="X45" s="18" t="n">
        <v>0</v>
      </c>
      <c r="Y45" s="18" t="n">
        <v>0</v>
      </c>
      <c r="Z45" s="17" t="n">
        <v>1</v>
      </c>
      <c r="AA45" s="18" t="n">
        <v>0</v>
      </c>
      <c r="AB45" s="17" t="n">
        <v>1</v>
      </c>
      <c r="AC45" s="18" t="n">
        <v>0</v>
      </c>
      <c r="AD45" s="17" t="n">
        <v>1</v>
      </c>
      <c r="AE45" s="19" t="n">
        <f aca="false">SUM(F45:AD45)</f>
        <v>10</v>
      </c>
      <c r="AF45" s="10" t="n">
        <f aca="false">AE45/25</f>
        <v>0.4</v>
      </c>
      <c r="AG45" s="5" t="s">
        <v>196</v>
      </c>
    </row>
    <row r="46" customFormat="false" ht="15" hidden="false" customHeight="false" outlineLevel="0" collapsed="false">
      <c r="A46" s="14" t="n">
        <v>42</v>
      </c>
      <c r="B46" s="5" t="s">
        <v>213</v>
      </c>
      <c r="C46" s="5" t="s">
        <v>214</v>
      </c>
      <c r="D46" s="14" t="s">
        <v>170</v>
      </c>
      <c r="E46" s="16" t="n">
        <v>46259.6088670602</v>
      </c>
      <c r="F46" s="18" t="n">
        <v>0</v>
      </c>
      <c r="G46" s="17" t="n">
        <v>1</v>
      </c>
      <c r="H46" s="17" t="n">
        <v>1</v>
      </c>
      <c r="I46" s="18" t="n">
        <v>0</v>
      </c>
      <c r="J46" s="18" t="n">
        <v>0</v>
      </c>
      <c r="K46" s="18" t="n">
        <v>0</v>
      </c>
      <c r="L46" s="18" t="n">
        <v>0</v>
      </c>
      <c r="M46" s="18" t="n">
        <v>0</v>
      </c>
      <c r="N46" s="18" t="n">
        <v>0</v>
      </c>
      <c r="O46" s="17" t="n">
        <v>1</v>
      </c>
      <c r="P46" s="17" t="n">
        <v>1</v>
      </c>
      <c r="Q46" s="18" t="n">
        <v>0</v>
      </c>
      <c r="R46" s="17" t="n">
        <v>1</v>
      </c>
      <c r="S46" s="18" t="n">
        <v>0</v>
      </c>
      <c r="T46" s="18" t="n">
        <v>0</v>
      </c>
      <c r="U46" s="17" t="n">
        <v>1</v>
      </c>
      <c r="V46" s="18" t="n">
        <v>0</v>
      </c>
      <c r="W46" s="18" t="n">
        <v>0</v>
      </c>
      <c r="X46" s="17" t="n">
        <v>1</v>
      </c>
      <c r="Y46" s="17" t="n">
        <v>1</v>
      </c>
      <c r="Z46" s="17" t="n">
        <v>1</v>
      </c>
      <c r="AA46" s="18" t="n">
        <v>0</v>
      </c>
      <c r="AB46" s="18" t="n">
        <v>0</v>
      </c>
      <c r="AC46" s="18" t="n">
        <v>0</v>
      </c>
      <c r="AD46" s="18" t="n">
        <v>0</v>
      </c>
      <c r="AE46" s="19" t="n">
        <f aca="false">SUM(F46:AD46)</f>
        <v>9</v>
      </c>
      <c r="AF46" s="10" t="n">
        <f aca="false">AE46/25</f>
        <v>0.36</v>
      </c>
      <c r="AG46" s="5" t="s">
        <v>212</v>
      </c>
    </row>
    <row r="47" customFormat="false" ht="15" hidden="false" customHeight="false" outlineLevel="0" collapsed="false">
      <c r="A47" s="14" t="n">
        <v>43</v>
      </c>
      <c r="B47" s="5" t="s">
        <v>272</v>
      </c>
      <c r="C47" s="5" t="s">
        <v>273</v>
      </c>
      <c r="D47" s="14" t="s">
        <v>166</v>
      </c>
      <c r="E47" s="16" t="n">
        <v>46259.6090152546</v>
      </c>
      <c r="F47" s="17" t="n">
        <v>1</v>
      </c>
      <c r="G47" s="18" t="n">
        <v>0</v>
      </c>
      <c r="H47" s="18" t="n">
        <v>0</v>
      </c>
      <c r="I47" s="18" t="n">
        <v>0</v>
      </c>
      <c r="J47" s="17" t="n">
        <v>1</v>
      </c>
      <c r="K47" s="17" t="n">
        <v>1</v>
      </c>
      <c r="L47" s="18" t="n">
        <v>0</v>
      </c>
      <c r="M47" s="17" t="n">
        <v>1</v>
      </c>
      <c r="N47" s="18" t="n">
        <v>0</v>
      </c>
      <c r="O47" s="18" t="n">
        <v>0</v>
      </c>
      <c r="P47" s="18" t="n">
        <v>0</v>
      </c>
      <c r="Q47" s="18" t="n">
        <v>0</v>
      </c>
      <c r="R47" s="17" t="n">
        <v>1</v>
      </c>
      <c r="S47" s="18" t="n">
        <v>0</v>
      </c>
      <c r="T47" s="18" t="n">
        <v>0</v>
      </c>
      <c r="U47" s="18" t="n">
        <v>0</v>
      </c>
      <c r="V47" s="18" t="n">
        <v>0</v>
      </c>
      <c r="W47" s="17" t="n">
        <v>1</v>
      </c>
      <c r="X47" s="18" t="n">
        <v>0</v>
      </c>
      <c r="Y47" s="18" t="n">
        <v>0</v>
      </c>
      <c r="Z47" s="17" t="n">
        <v>1</v>
      </c>
      <c r="AA47" s="17" t="n">
        <v>1</v>
      </c>
      <c r="AB47" s="18" t="n">
        <v>0</v>
      </c>
      <c r="AC47" s="18" t="n">
        <v>0</v>
      </c>
      <c r="AD47" s="17" t="n">
        <v>1</v>
      </c>
      <c r="AE47" s="19" t="n">
        <f aca="false">SUM(F47:AD47)</f>
        <v>9</v>
      </c>
      <c r="AF47" s="10" t="n">
        <f aca="false">AE47/25</f>
        <v>0.36</v>
      </c>
      <c r="AG47" s="5" t="s">
        <v>212</v>
      </c>
    </row>
    <row r="48" customFormat="false" ht="15" hidden="false" customHeight="false" outlineLevel="0" collapsed="false">
      <c r="A48" s="14" t="n">
        <v>44</v>
      </c>
      <c r="B48" s="5" t="s">
        <v>274</v>
      </c>
      <c r="C48" s="5" t="s">
        <v>275</v>
      </c>
      <c r="D48" s="14" t="s">
        <v>166</v>
      </c>
      <c r="E48" s="16" t="n">
        <v>46259.6096977083</v>
      </c>
      <c r="F48" s="17" t="n">
        <v>1</v>
      </c>
      <c r="G48" s="18" t="n">
        <v>0</v>
      </c>
      <c r="H48" s="18" t="n">
        <v>0</v>
      </c>
      <c r="I48" s="18" t="n">
        <v>0</v>
      </c>
      <c r="J48" s="18" t="n">
        <v>0</v>
      </c>
      <c r="K48" s="18" t="n">
        <v>0</v>
      </c>
      <c r="L48" s="18" t="n">
        <v>0</v>
      </c>
      <c r="M48" s="17" t="n">
        <v>1</v>
      </c>
      <c r="N48" s="17" t="n">
        <v>1</v>
      </c>
      <c r="O48" s="17" t="n">
        <v>1</v>
      </c>
      <c r="P48" s="18" t="n">
        <v>0</v>
      </c>
      <c r="Q48" s="17" t="n">
        <v>1</v>
      </c>
      <c r="R48" s="18" t="n">
        <v>0</v>
      </c>
      <c r="S48" s="18" t="n">
        <v>0</v>
      </c>
      <c r="T48" s="18" t="n">
        <v>0</v>
      </c>
      <c r="U48" s="18" t="n">
        <v>0</v>
      </c>
      <c r="V48" s="18" t="n">
        <v>0</v>
      </c>
      <c r="W48" s="17" t="n">
        <v>1</v>
      </c>
      <c r="X48" s="18" t="n">
        <v>0</v>
      </c>
      <c r="Y48" s="18" t="n">
        <v>0</v>
      </c>
      <c r="Z48" s="17" t="n">
        <v>1</v>
      </c>
      <c r="AA48" s="18" t="n">
        <v>0</v>
      </c>
      <c r="AB48" s="18" t="n">
        <v>0</v>
      </c>
      <c r="AC48" s="18" t="n">
        <v>0</v>
      </c>
      <c r="AD48" s="18" t="n">
        <v>0</v>
      </c>
      <c r="AE48" s="19" t="n">
        <f aca="false">SUM(F48:AD48)</f>
        <v>7</v>
      </c>
      <c r="AF48" s="10" t="n">
        <f aca="false">AE48/25</f>
        <v>0.28</v>
      </c>
      <c r="AG48" s="5" t="s">
        <v>212</v>
      </c>
    </row>
    <row r="49" customFormat="false" ht="15" hidden="false" customHeight="false" outlineLevel="0" collapsed="false">
      <c r="A49" s="14" t="n">
        <v>45</v>
      </c>
      <c r="B49" s="5" t="s">
        <v>276</v>
      </c>
      <c r="C49" s="5" t="s">
        <v>277</v>
      </c>
      <c r="D49" s="14" t="s">
        <v>170</v>
      </c>
      <c r="E49" s="16" t="n">
        <v>46259.6122879861</v>
      </c>
      <c r="F49" s="17" t="n">
        <v>1</v>
      </c>
      <c r="G49" s="18" t="n">
        <v>0</v>
      </c>
      <c r="H49" s="18" t="n">
        <v>0</v>
      </c>
      <c r="I49" s="18" t="n">
        <v>0</v>
      </c>
      <c r="J49" s="18" t="n">
        <v>0</v>
      </c>
      <c r="K49" s="18" t="n">
        <v>0</v>
      </c>
      <c r="L49" s="18" t="n">
        <v>0</v>
      </c>
      <c r="M49" s="18" t="n">
        <v>0</v>
      </c>
      <c r="N49" s="18" t="n">
        <v>0</v>
      </c>
      <c r="O49" s="18" t="n">
        <v>0</v>
      </c>
      <c r="P49" s="18" t="n">
        <v>0</v>
      </c>
      <c r="Q49" s="17" t="n">
        <v>1</v>
      </c>
      <c r="R49" s="18" t="n">
        <v>0</v>
      </c>
      <c r="S49" s="18" t="n">
        <v>0</v>
      </c>
      <c r="T49" s="18" t="n">
        <v>0</v>
      </c>
      <c r="U49" s="18" t="n">
        <v>0</v>
      </c>
      <c r="V49" s="18" t="n">
        <v>0</v>
      </c>
      <c r="W49" s="17" t="n">
        <v>1</v>
      </c>
      <c r="X49" s="18" t="n">
        <v>0</v>
      </c>
      <c r="Y49" s="18" t="n">
        <v>0</v>
      </c>
      <c r="Z49" s="18" t="n">
        <v>0</v>
      </c>
      <c r="AA49" s="18" t="n">
        <v>0</v>
      </c>
      <c r="AB49" s="18" t="n">
        <v>0</v>
      </c>
      <c r="AC49" s="17" t="n">
        <v>1</v>
      </c>
      <c r="AD49" s="18" t="n">
        <v>0</v>
      </c>
      <c r="AE49" s="19" t="n">
        <f aca="false">SUM(F49:AD49)</f>
        <v>4</v>
      </c>
      <c r="AF49" s="10" t="n">
        <f aca="false">AE49/25</f>
        <v>0.16</v>
      </c>
      <c r="AG49" s="5" t="s">
        <v>212</v>
      </c>
    </row>
    <row r="51" customFormat="false" ht="15" hidden="false" customHeight="false" outlineLevel="0" collapsed="false">
      <c r="B51" s="20" t="s">
        <v>224</v>
      </c>
      <c r="F51" s="21" t="n">
        <f aca="false">AVERAGE(F5:F49)</f>
        <v>0.822222222222222</v>
      </c>
      <c r="G51" s="21" t="n">
        <f aca="false">AVERAGE(G5:G49)</f>
        <v>0.333333333333333</v>
      </c>
      <c r="H51" s="21" t="n">
        <f aca="false">AVERAGE(H5:H49)</f>
        <v>0.666666666666667</v>
      </c>
      <c r="I51" s="21" t="n">
        <f aca="false">AVERAGE(I5:I49)</f>
        <v>0.711111111111111</v>
      </c>
      <c r="J51" s="21" t="n">
        <f aca="false">AVERAGE(J5:J49)</f>
        <v>0.8</v>
      </c>
      <c r="K51" s="21" t="n">
        <f aca="false">AVERAGE(K5:K49)</f>
        <v>0.866666666666667</v>
      </c>
      <c r="L51" s="21" t="n">
        <f aca="false">AVERAGE(L5:L49)</f>
        <v>0.733333333333333</v>
      </c>
      <c r="M51" s="21" t="n">
        <f aca="false">AVERAGE(M5:M49)</f>
        <v>0.488888888888889</v>
      </c>
      <c r="N51" s="21" t="n">
        <f aca="false">AVERAGE(N5:N49)</f>
        <v>0.888888888888889</v>
      </c>
      <c r="O51" s="21" t="n">
        <f aca="false">AVERAGE(O5:O49)</f>
        <v>0.888888888888889</v>
      </c>
      <c r="P51" s="21" t="n">
        <f aca="false">AVERAGE(P5:P49)</f>
        <v>0.733333333333333</v>
      </c>
      <c r="Q51" s="21" t="n">
        <f aca="false">AVERAGE(Q5:Q49)</f>
        <v>0.777777777777778</v>
      </c>
      <c r="R51" s="21" t="n">
        <f aca="false">AVERAGE(R5:R49)</f>
        <v>0.666666666666667</v>
      </c>
      <c r="S51" s="21" t="n">
        <f aca="false">AVERAGE(S5:S49)</f>
        <v>0.622222222222222</v>
      </c>
      <c r="T51" s="21" t="n">
        <f aca="false">AVERAGE(T5:T49)</f>
        <v>0.622222222222222</v>
      </c>
      <c r="U51" s="21" t="n">
        <f aca="false">AVERAGE(U5:U49)</f>
        <v>0.822222222222222</v>
      </c>
      <c r="V51" s="21" t="n">
        <f aca="false">AVERAGE(V5:V49)</f>
        <v>0.533333333333333</v>
      </c>
      <c r="W51" s="21" t="n">
        <f aca="false">AVERAGE(W5:W49)</f>
        <v>0.933333333333333</v>
      </c>
      <c r="X51" s="21" t="n">
        <f aca="false">AVERAGE(X5:X49)</f>
        <v>0.688888888888889</v>
      </c>
      <c r="Y51" s="21" t="n">
        <f aca="false">AVERAGE(Y5:Y49)</f>
        <v>0.622222222222222</v>
      </c>
      <c r="Z51" s="21" t="n">
        <f aca="false">AVERAGE(Z5:Z49)</f>
        <v>0.955555555555556</v>
      </c>
      <c r="AA51" s="21" t="n">
        <f aca="false">AVERAGE(AA5:AA49)</f>
        <v>0.844444444444444</v>
      </c>
      <c r="AB51" s="21" t="n">
        <f aca="false">AVERAGE(AB5:AB49)</f>
        <v>0.8</v>
      </c>
      <c r="AC51" s="21" t="n">
        <f aca="false">AVERAGE(AC5:AC49)</f>
        <v>0.688888888888889</v>
      </c>
      <c r="AD51" s="21" t="n">
        <f aca="false">AVERAGE(AD5:AD49)</f>
        <v>0.711111111111111</v>
      </c>
      <c r="AE51" s="22" t="n">
        <f aca="false">AVERAGE(AE5:AE49)</f>
        <v>18.2222222222222</v>
      </c>
      <c r="AF51" s="23" t="n">
        <f aca="false">AE51/25</f>
        <v>0.728888888888889</v>
      </c>
    </row>
    <row r="52" customFormat="false" ht="15" hidden="false" customHeight="false" outlineLevel="0" collapsed="false">
      <c r="B52" s="20" t="s">
        <v>225</v>
      </c>
      <c r="AE52" s="24" t="n">
        <f aca="false">MAX(AE5:AE49)</f>
        <v>25</v>
      </c>
    </row>
    <row r="53" customFormat="false" ht="15" hidden="false" customHeight="false" outlineLevel="0" collapsed="false">
      <c r="B53" s="20" t="s">
        <v>226</v>
      </c>
      <c r="AE53" s="24" t="n">
        <f aca="false">MIN(AE5:AE49)</f>
        <v>4</v>
      </c>
    </row>
    <row r="54" customFormat="false" ht="15" hidden="false" customHeight="false" outlineLevel="0" collapsed="false">
      <c r="B54" s="20" t="s">
        <v>10</v>
      </c>
      <c r="AE54" s="22" t="n">
        <f aca="false">MEDIAN(AE5:AE49)</f>
        <v>19</v>
      </c>
    </row>
    <row r="55" customFormat="false" ht="15" hidden="false" customHeight="false" outlineLevel="0" collapsed="false">
      <c r="B55" s="20" t="s">
        <v>13</v>
      </c>
      <c r="AE55" s="22" t="n">
        <f aca="false">STDEV(AE5:AE49)</f>
        <v>4.83307209325351</v>
      </c>
    </row>
    <row r="56" customFormat="false" ht="15" hidden="false" customHeight="false" outlineLevel="0" collapsed="false">
      <c r="B56" s="20" t="s">
        <v>227</v>
      </c>
      <c r="AE56" s="24" t="n">
        <f aca="false">COUNT(AE5:AE49)</f>
        <v>45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3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28"/>
    <col collapsed="false" customWidth="true" hidden="false" outlineLevel="0" max="3" min="3" style="0" width="14"/>
    <col collapsed="false" customWidth="true" hidden="false" outlineLevel="0" max="7" min="4" style="0" width="10"/>
    <col collapsed="false" customWidth="true" hidden="false" outlineLevel="0" max="8" min="8" style="0" width="14"/>
    <col collapsed="false" customWidth="true" hidden="false" outlineLevel="0" max="10" min="9" style="0" width="16"/>
  </cols>
  <sheetData>
    <row r="1" customFormat="false" ht="17.15" hidden="false" customHeight="false" outlineLevel="0" collapsed="false">
      <c r="A1" s="1" t="s">
        <v>278</v>
      </c>
    </row>
    <row r="2" customFormat="false" ht="15" hidden="false" customHeight="false" outlineLevel="0" collapsed="false">
      <c r="A2" s="2" t="s">
        <v>279</v>
      </c>
    </row>
    <row r="4" customFormat="false" ht="30" hidden="false" customHeight="true" outlineLevel="0" collapsed="false">
      <c r="A4" s="4" t="s">
        <v>131</v>
      </c>
      <c r="B4" s="4" t="s">
        <v>132</v>
      </c>
      <c r="C4" s="4" t="s">
        <v>133</v>
      </c>
      <c r="D4" s="4" t="s">
        <v>134</v>
      </c>
      <c r="E4" s="4" t="s">
        <v>280</v>
      </c>
      <c r="F4" s="4" t="s">
        <v>281</v>
      </c>
      <c r="G4" s="4" t="s">
        <v>6</v>
      </c>
      <c r="H4" s="4" t="s">
        <v>282</v>
      </c>
      <c r="I4" s="4" t="s">
        <v>283</v>
      </c>
      <c r="J4" s="4" t="s">
        <v>284</v>
      </c>
    </row>
    <row r="5" customFormat="false" ht="15" hidden="false" customHeight="false" outlineLevel="0" collapsed="false">
      <c r="A5" s="14" t="n">
        <v>1</v>
      </c>
      <c r="B5" s="5" t="s">
        <v>221</v>
      </c>
      <c r="C5" s="5" t="s">
        <v>222</v>
      </c>
      <c r="D5" s="14" t="s">
        <v>166</v>
      </c>
      <c r="E5" s="14" t="n">
        <v>6</v>
      </c>
      <c r="F5" s="14" t="n">
        <v>19</v>
      </c>
      <c r="G5" s="19" t="n">
        <f aca="false">F5-E5</f>
        <v>13</v>
      </c>
      <c r="H5" s="10" t="n">
        <f aca="false">IF(E5=0,"n/a",G5/E5)</f>
        <v>2.16666666666667</v>
      </c>
      <c r="I5" s="8" t="n">
        <f aca="false">IF(25-E5=0,"n/a",G5/(25-E5))</f>
        <v>0.68421052631579</v>
      </c>
      <c r="J5" s="14" t="str">
        <f aca="false">IF(G5&gt;0,"เพิ่มขึ้น",IF(G5=0,"เท่าเดิม","ลดลง"))</f>
        <v>เพิ่มขึ้น</v>
      </c>
    </row>
    <row r="6" customFormat="false" ht="15" hidden="false" customHeight="false" outlineLevel="0" collapsed="false">
      <c r="A6" s="14" t="n">
        <v>2</v>
      </c>
      <c r="B6" s="5" t="s">
        <v>223</v>
      </c>
      <c r="C6" s="5" t="s">
        <v>218</v>
      </c>
      <c r="D6" s="14" t="s">
        <v>170</v>
      </c>
      <c r="E6" s="14" t="n">
        <v>4</v>
      </c>
      <c r="F6" s="14" t="n">
        <v>13</v>
      </c>
      <c r="G6" s="19" t="n">
        <f aca="false">F6-E6</f>
        <v>9</v>
      </c>
      <c r="H6" s="10" t="n">
        <f aca="false">IF(E6=0,"n/a",G6/E6)</f>
        <v>2.25</v>
      </c>
      <c r="I6" s="8" t="n">
        <f aca="false">IF(25-E6=0,"n/a",G6/(25-E6))</f>
        <v>0.428571428571429</v>
      </c>
      <c r="J6" s="14" t="str">
        <f aca="false">IF(G6&gt;0,"เพิ่มขึ้น",IF(G6=0,"เท่าเดิม","ลดลง"))</f>
        <v>เพิ่มขึ้น</v>
      </c>
    </row>
    <row r="7" customFormat="false" ht="15" hidden="false" customHeight="false" outlineLevel="0" collapsed="false">
      <c r="A7" s="14" t="n">
        <v>3</v>
      </c>
      <c r="B7" s="5" t="s">
        <v>215</v>
      </c>
      <c r="C7" s="5" t="s">
        <v>216</v>
      </c>
      <c r="D7" s="14" t="s">
        <v>166</v>
      </c>
      <c r="E7" s="14" t="n">
        <v>8</v>
      </c>
      <c r="F7" s="14" t="n">
        <v>17</v>
      </c>
      <c r="G7" s="19" t="n">
        <f aca="false">F7-E7</f>
        <v>9</v>
      </c>
      <c r="H7" s="10" t="n">
        <f aca="false">IF(E7=0,"n/a",G7/E7)</f>
        <v>1.125</v>
      </c>
      <c r="I7" s="8" t="n">
        <f aca="false">IF(25-E7=0,"n/a",G7/(25-E7))</f>
        <v>0.529411764705882</v>
      </c>
      <c r="J7" s="14" t="str">
        <f aca="false">IF(G7&gt;0,"เพิ่มขึ้น",IF(G7=0,"เท่าเดิม","ลดลง"))</f>
        <v>เพิ่มขึ้น</v>
      </c>
    </row>
    <row r="8" customFormat="false" ht="15" hidden="false" customHeight="false" outlineLevel="0" collapsed="false">
      <c r="A8" s="14" t="n">
        <v>4</v>
      </c>
      <c r="B8" s="5" t="s">
        <v>203</v>
      </c>
      <c r="C8" s="5" t="s">
        <v>204</v>
      </c>
      <c r="D8" s="14" t="s">
        <v>166</v>
      </c>
      <c r="E8" s="14" t="n">
        <v>13</v>
      </c>
      <c r="F8" s="14" t="n">
        <v>21</v>
      </c>
      <c r="G8" s="19" t="n">
        <f aca="false">F8-E8</f>
        <v>8</v>
      </c>
      <c r="H8" s="10" t="n">
        <f aca="false">IF(E8=0,"n/a",G8/E8)</f>
        <v>0.615384615384615</v>
      </c>
      <c r="I8" s="8" t="n">
        <f aca="false">IF(25-E8=0,"n/a",G8/(25-E8))</f>
        <v>0.666666666666667</v>
      </c>
      <c r="J8" s="14" t="str">
        <f aca="false">IF(G8&gt;0,"เพิ่มขึ้น",IF(G8=0,"เท่าเดิม","ลดลง"))</f>
        <v>เพิ่มขึ้น</v>
      </c>
    </row>
    <row r="9" customFormat="false" ht="15" hidden="false" customHeight="false" outlineLevel="0" collapsed="false">
      <c r="A9" s="14" t="n">
        <v>5</v>
      </c>
      <c r="B9" s="5" t="s">
        <v>197</v>
      </c>
      <c r="C9" s="5" t="s">
        <v>198</v>
      </c>
      <c r="D9" s="14" t="s">
        <v>170</v>
      </c>
      <c r="E9" s="14" t="n">
        <v>14</v>
      </c>
      <c r="F9" s="14" t="n">
        <v>21</v>
      </c>
      <c r="G9" s="19" t="n">
        <f aca="false">F9-E9</f>
        <v>7</v>
      </c>
      <c r="H9" s="10" t="n">
        <f aca="false">IF(E9=0,"n/a",G9/E9)</f>
        <v>0.5</v>
      </c>
      <c r="I9" s="8" t="n">
        <f aca="false">IF(25-E9=0,"n/a",G9/(25-E9))</f>
        <v>0.636363636363636</v>
      </c>
      <c r="J9" s="14" t="str">
        <f aca="false">IF(G9&gt;0,"เพิ่มขึ้น",IF(G9=0,"เท่าเดิม","ลดลง"))</f>
        <v>เพิ่มขึ้น</v>
      </c>
    </row>
    <row r="10" customFormat="false" ht="15" hidden="false" customHeight="false" outlineLevel="0" collapsed="false">
      <c r="A10" s="14" t="n">
        <v>6</v>
      </c>
      <c r="B10" s="5" t="s">
        <v>207</v>
      </c>
      <c r="C10" s="5" t="s">
        <v>183</v>
      </c>
      <c r="D10" s="14" t="s">
        <v>166</v>
      </c>
      <c r="E10" s="14" t="n">
        <v>11</v>
      </c>
      <c r="F10" s="14" t="n">
        <v>18</v>
      </c>
      <c r="G10" s="19" t="n">
        <f aca="false">F10-E10</f>
        <v>7</v>
      </c>
      <c r="H10" s="10" t="n">
        <f aca="false">IF(E10=0,"n/a",G10/E10)</f>
        <v>0.636363636363636</v>
      </c>
      <c r="I10" s="8" t="n">
        <f aca="false">IF(25-E10=0,"n/a",G10/(25-E10))</f>
        <v>0.5</v>
      </c>
      <c r="J10" s="14" t="str">
        <f aca="false">IF(G10&gt;0,"เพิ่มขึ้น",IF(G10=0,"เท่าเดิม","ลดลง"))</f>
        <v>เพิ่มขึ้น</v>
      </c>
    </row>
    <row r="11" customFormat="false" ht="15" hidden="false" customHeight="false" outlineLevel="0" collapsed="false">
      <c r="A11" s="14" t="n">
        <v>7</v>
      </c>
      <c r="B11" s="5" t="s">
        <v>186</v>
      </c>
      <c r="C11" s="5" t="s">
        <v>187</v>
      </c>
      <c r="D11" s="14" t="s">
        <v>166</v>
      </c>
      <c r="E11" s="14" t="n">
        <v>16</v>
      </c>
      <c r="F11" s="14" t="n">
        <v>21</v>
      </c>
      <c r="G11" s="19" t="n">
        <f aca="false">F11-E11</f>
        <v>5</v>
      </c>
      <c r="H11" s="10" t="n">
        <f aca="false">IF(E11=0,"n/a",G11/E11)</f>
        <v>0.3125</v>
      </c>
      <c r="I11" s="8" t="n">
        <f aca="false">IF(25-E11=0,"n/a",G11/(25-E11))</f>
        <v>0.555555555555556</v>
      </c>
      <c r="J11" s="14" t="str">
        <f aca="false">IF(G11&gt;0,"เพิ่มขึ้น",IF(G11=0,"เท่าเดิม","ลดลง"))</f>
        <v>เพิ่มขึ้น</v>
      </c>
    </row>
    <row r="12" customFormat="false" ht="15" hidden="false" customHeight="false" outlineLevel="0" collapsed="false">
      <c r="A12" s="14" t="n">
        <v>8</v>
      </c>
      <c r="B12" s="5" t="s">
        <v>190</v>
      </c>
      <c r="C12" s="5" t="s">
        <v>191</v>
      </c>
      <c r="D12" s="14" t="s">
        <v>166</v>
      </c>
      <c r="E12" s="14" t="n">
        <v>15</v>
      </c>
      <c r="F12" s="14" t="n">
        <v>20</v>
      </c>
      <c r="G12" s="19" t="n">
        <f aca="false">F12-E12</f>
        <v>5</v>
      </c>
      <c r="H12" s="10" t="n">
        <f aca="false">IF(E12=0,"n/a",G12/E12)</f>
        <v>0.333333333333333</v>
      </c>
      <c r="I12" s="8" t="n">
        <f aca="false">IF(25-E12=0,"n/a",G12/(25-E12))</f>
        <v>0.5</v>
      </c>
      <c r="J12" s="14" t="str">
        <f aca="false">IF(G12&gt;0,"เพิ่มขึ้น",IF(G12=0,"เท่าเดิม","ลดลง"))</f>
        <v>เพิ่มขึ้น</v>
      </c>
    </row>
    <row r="13" customFormat="false" ht="15" hidden="false" customHeight="false" outlineLevel="0" collapsed="false">
      <c r="A13" s="14" t="n">
        <v>9</v>
      </c>
      <c r="B13" s="5" t="s">
        <v>194</v>
      </c>
      <c r="C13" s="5" t="s">
        <v>195</v>
      </c>
      <c r="D13" s="14" t="s">
        <v>170</v>
      </c>
      <c r="E13" s="14" t="n">
        <v>14</v>
      </c>
      <c r="F13" s="14" t="n">
        <v>18</v>
      </c>
      <c r="G13" s="19" t="n">
        <f aca="false">F13-E13</f>
        <v>4</v>
      </c>
      <c r="H13" s="10" t="n">
        <f aca="false">IF(E13=0,"n/a",G13/E13)</f>
        <v>0.285714285714286</v>
      </c>
      <c r="I13" s="8" t="n">
        <f aca="false">IF(25-E13=0,"n/a",G13/(25-E13))</f>
        <v>0.363636363636364</v>
      </c>
      <c r="J13" s="14" t="str">
        <f aca="false">IF(G13&gt;0,"เพิ่มขึ้น",IF(G13=0,"เท่าเดิม","ลดลง"))</f>
        <v>เพิ่มขึ้น</v>
      </c>
    </row>
    <row r="14" customFormat="false" ht="15" hidden="false" customHeight="false" outlineLevel="0" collapsed="false">
      <c r="A14" s="14" t="n">
        <v>10</v>
      </c>
      <c r="B14" s="5" t="s">
        <v>182</v>
      </c>
      <c r="C14" s="5" t="s">
        <v>183</v>
      </c>
      <c r="D14" s="14" t="s">
        <v>166</v>
      </c>
      <c r="E14" s="14" t="n">
        <v>18</v>
      </c>
      <c r="F14" s="14" t="n">
        <v>22</v>
      </c>
      <c r="G14" s="19" t="n">
        <f aca="false">F14-E14</f>
        <v>4</v>
      </c>
      <c r="H14" s="10" t="n">
        <f aca="false">IF(E14=0,"n/a",G14/E14)</f>
        <v>0.222222222222222</v>
      </c>
      <c r="I14" s="8" t="n">
        <f aca="false">IF(25-E14=0,"n/a",G14/(25-E14))</f>
        <v>0.571428571428571</v>
      </c>
      <c r="J14" s="14" t="str">
        <f aca="false">IF(G14&gt;0,"เพิ่มขึ้น",IF(G14=0,"เท่าเดิม","ลดลง"))</f>
        <v>เพิ่มขึ้น</v>
      </c>
    </row>
    <row r="15" customFormat="false" ht="15" hidden="false" customHeight="false" outlineLevel="0" collapsed="false">
      <c r="A15" s="14" t="n">
        <v>11</v>
      </c>
      <c r="B15" s="5" t="s">
        <v>210</v>
      </c>
      <c r="C15" s="5" t="s">
        <v>211</v>
      </c>
      <c r="D15" s="14" t="s">
        <v>170</v>
      </c>
      <c r="E15" s="14" t="n">
        <v>9</v>
      </c>
      <c r="F15" s="14" t="n">
        <v>13</v>
      </c>
      <c r="G15" s="19" t="n">
        <f aca="false">F15-E15</f>
        <v>4</v>
      </c>
      <c r="H15" s="10" t="n">
        <f aca="false">IF(E15=0,"n/a",G15/E15)</f>
        <v>0.444444444444444</v>
      </c>
      <c r="I15" s="8" t="n">
        <f aca="false">IF(25-E15=0,"n/a",G15/(25-E15))</f>
        <v>0.25</v>
      </c>
      <c r="J15" s="14" t="str">
        <f aca="false">IF(G15&gt;0,"เพิ่มขึ้น",IF(G15=0,"เท่าเดิม","ลดลง"))</f>
        <v>เพิ่มขึ้น</v>
      </c>
    </row>
    <row r="16" customFormat="false" ht="15" hidden="false" customHeight="false" outlineLevel="0" collapsed="false">
      <c r="A16" s="14" t="n">
        <v>12</v>
      </c>
      <c r="B16" s="5" t="s">
        <v>192</v>
      </c>
      <c r="C16" s="5" t="s">
        <v>193</v>
      </c>
      <c r="D16" s="14" t="s">
        <v>166</v>
      </c>
      <c r="E16" s="14" t="n">
        <v>15</v>
      </c>
      <c r="F16" s="14" t="n">
        <v>19</v>
      </c>
      <c r="G16" s="19" t="n">
        <f aca="false">F16-E16</f>
        <v>4</v>
      </c>
      <c r="H16" s="10" t="n">
        <f aca="false">IF(E16=0,"n/a",G16/E16)</f>
        <v>0.266666666666667</v>
      </c>
      <c r="I16" s="8" t="n">
        <f aca="false">IF(25-E16=0,"n/a",G16/(25-E16))</f>
        <v>0.4</v>
      </c>
      <c r="J16" s="14" t="str">
        <f aca="false">IF(G16&gt;0,"เพิ่มขึ้น",IF(G16=0,"เท่าเดิม","ลดลง"))</f>
        <v>เพิ่มขึ้น</v>
      </c>
    </row>
    <row r="17" customFormat="false" ht="15" hidden="false" customHeight="false" outlineLevel="0" collapsed="false">
      <c r="A17" s="14" t="n">
        <v>13</v>
      </c>
      <c r="B17" s="5" t="s">
        <v>184</v>
      </c>
      <c r="C17" s="5" t="s">
        <v>185</v>
      </c>
      <c r="D17" s="14" t="s">
        <v>170</v>
      </c>
      <c r="E17" s="14" t="n">
        <v>17</v>
      </c>
      <c r="F17" s="14" t="n">
        <v>20</v>
      </c>
      <c r="G17" s="19" t="n">
        <f aca="false">F17-E17</f>
        <v>3</v>
      </c>
      <c r="H17" s="10" t="n">
        <f aca="false">IF(E17=0,"n/a",G17/E17)</f>
        <v>0.176470588235294</v>
      </c>
      <c r="I17" s="8" t="n">
        <f aca="false">IF(25-E17=0,"n/a",G17/(25-E17))</f>
        <v>0.375</v>
      </c>
      <c r="J17" s="14" t="str">
        <f aca="false">IF(G17&gt;0,"เพิ่มขึ้น",IF(G17=0,"เท่าเดิม","ลดลง"))</f>
        <v>เพิ่มขึ้น</v>
      </c>
    </row>
    <row r="18" customFormat="false" ht="15" hidden="false" customHeight="false" outlineLevel="0" collapsed="false">
      <c r="A18" s="14" t="n">
        <v>14</v>
      </c>
      <c r="B18" s="5" t="s">
        <v>205</v>
      </c>
      <c r="C18" s="5" t="s">
        <v>206</v>
      </c>
      <c r="D18" s="14" t="s">
        <v>170</v>
      </c>
      <c r="E18" s="14" t="n">
        <v>12</v>
      </c>
      <c r="F18" s="14" t="n">
        <v>15</v>
      </c>
      <c r="G18" s="19" t="n">
        <f aca="false">F18-E18</f>
        <v>3</v>
      </c>
      <c r="H18" s="10" t="n">
        <f aca="false">IF(E18=0,"n/a",G18/E18)</f>
        <v>0.25</v>
      </c>
      <c r="I18" s="8" t="n">
        <f aca="false">IF(25-E18=0,"n/a",G18/(25-E18))</f>
        <v>0.230769230769231</v>
      </c>
      <c r="J18" s="14" t="str">
        <f aca="false">IF(G18&gt;0,"เพิ่มขึ้น",IF(G18=0,"เท่าเดิม","ลดลง"))</f>
        <v>เพิ่มขึ้น</v>
      </c>
    </row>
    <row r="19" customFormat="false" ht="15" hidden="false" customHeight="false" outlineLevel="0" collapsed="false">
      <c r="A19" s="14" t="n">
        <v>15</v>
      </c>
      <c r="B19" s="5" t="s">
        <v>188</v>
      </c>
      <c r="C19" s="5" t="s">
        <v>189</v>
      </c>
      <c r="D19" s="14" t="s">
        <v>170</v>
      </c>
      <c r="E19" s="14" t="n">
        <v>15</v>
      </c>
      <c r="F19" s="14" t="n">
        <v>17</v>
      </c>
      <c r="G19" s="19" t="n">
        <f aca="false">F19-E19</f>
        <v>2</v>
      </c>
      <c r="H19" s="10" t="n">
        <f aca="false">IF(E19=0,"n/a",G19/E19)</f>
        <v>0.133333333333333</v>
      </c>
      <c r="I19" s="8" t="n">
        <f aca="false">IF(25-E19=0,"n/a",G19/(25-E19))</f>
        <v>0.2</v>
      </c>
      <c r="J19" s="14" t="str">
        <f aca="false">IF(G19&gt;0,"เพิ่มขึ้น",IF(G19=0,"เท่าเดิม","ลดลง"))</f>
        <v>เพิ่มขึ้น</v>
      </c>
    </row>
    <row r="20" customFormat="false" ht="15" hidden="false" customHeight="false" outlineLevel="0" collapsed="false">
      <c r="A20" s="14" t="n">
        <v>16</v>
      </c>
      <c r="B20" s="5" t="s">
        <v>175</v>
      </c>
      <c r="C20" s="5" t="s">
        <v>176</v>
      </c>
      <c r="D20" s="14" t="s">
        <v>166</v>
      </c>
      <c r="E20" s="14" t="n">
        <v>20</v>
      </c>
      <c r="F20" s="14" t="n">
        <v>22</v>
      </c>
      <c r="G20" s="19" t="n">
        <f aca="false">F20-E20</f>
        <v>2</v>
      </c>
      <c r="H20" s="10" t="n">
        <f aca="false">IF(E20=0,"n/a",G20/E20)</f>
        <v>0.1</v>
      </c>
      <c r="I20" s="8" t="n">
        <f aca="false">IF(25-E20=0,"n/a",G20/(25-E20))</f>
        <v>0.4</v>
      </c>
      <c r="J20" s="14" t="str">
        <f aca="false">IF(G20&gt;0,"เพิ่มขึ้น",IF(G20=0,"เท่าเดิม","ลดลง"))</f>
        <v>เพิ่มขึ้น</v>
      </c>
    </row>
    <row r="21" customFormat="false" ht="15" hidden="false" customHeight="false" outlineLevel="0" collapsed="false">
      <c r="A21" s="14" t="n">
        <v>17</v>
      </c>
      <c r="B21" s="5" t="s">
        <v>213</v>
      </c>
      <c r="C21" s="5" t="s">
        <v>214</v>
      </c>
      <c r="D21" s="14" t="s">
        <v>170</v>
      </c>
      <c r="E21" s="14" t="n">
        <v>8</v>
      </c>
      <c r="F21" s="14" t="n">
        <v>9</v>
      </c>
      <c r="G21" s="19" t="n">
        <f aca="false">F21-E21</f>
        <v>1</v>
      </c>
      <c r="H21" s="10" t="n">
        <f aca="false">IF(E21=0,"n/a",G21/E21)</f>
        <v>0.125</v>
      </c>
      <c r="I21" s="8" t="n">
        <f aca="false">IF(25-E21=0,"n/a",G21/(25-E21))</f>
        <v>0.0588235294117647</v>
      </c>
      <c r="J21" s="14" t="str">
        <f aca="false">IF(G21&gt;0,"เพิ่มขึ้น",IF(G21=0,"เท่าเดิม","ลดลง"))</f>
        <v>เพิ่มขึ้น</v>
      </c>
    </row>
    <row r="22" customFormat="false" ht="15" hidden="false" customHeight="false" outlineLevel="0" collapsed="false">
      <c r="A22" s="14" t="n">
        <v>18</v>
      </c>
      <c r="B22" s="5" t="s">
        <v>177</v>
      </c>
      <c r="C22" s="5" t="s">
        <v>178</v>
      </c>
      <c r="D22" s="14" t="s">
        <v>170</v>
      </c>
      <c r="E22" s="14" t="n">
        <v>19</v>
      </c>
      <c r="F22" s="14" t="n">
        <v>18</v>
      </c>
      <c r="G22" s="19" t="n">
        <f aca="false">F22-E22</f>
        <v>-1</v>
      </c>
      <c r="H22" s="10" t="n">
        <f aca="false">IF(E22=0,"n/a",G22/E22)</f>
        <v>-0.0526315789473684</v>
      </c>
      <c r="I22" s="8" t="n">
        <f aca="false">IF(25-E22=0,"n/a",G22/(25-E22))</f>
        <v>-0.166666666666667</v>
      </c>
      <c r="J22" s="14" t="str">
        <f aca="false">IF(G22&gt;0,"เพิ่มขึ้น",IF(G22=0,"เท่าเดิม","ลดลง"))</f>
        <v>ลดลง</v>
      </c>
    </row>
    <row r="23" customFormat="false" ht="15" hidden="false" customHeight="false" outlineLevel="0" collapsed="false">
      <c r="A23" s="14" t="n">
        <v>19</v>
      </c>
      <c r="B23" s="5" t="s">
        <v>171</v>
      </c>
      <c r="C23" s="5" t="s">
        <v>172</v>
      </c>
      <c r="D23" s="14" t="s">
        <v>166</v>
      </c>
      <c r="E23" s="14" t="n">
        <v>22</v>
      </c>
      <c r="F23" s="14" t="n">
        <v>21</v>
      </c>
      <c r="G23" s="19" t="n">
        <f aca="false">F23-E23</f>
        <v>-1</v>
      </c>
      <c r="H23" s="10" t="n">
        <f aca="false">IF(E23=0,"n/a",G23/E23)</f>
        <v>-0.0454545454545455</v>
      </c>
      <c r="I23" s="8" t="n">
        <f aca="false">IF(25-E23=0,"n/a",G23/(25-E23))</f>
        <v>-0.333333333333333</v>
      </c>
      <c r="J23" s="14" t="str">
        <f aca="false">IF(G23&gt;0,"เพิ่มขึ้น",IF(G23=0,"เท่าเดิม","ลดลง"))</f>
        <v>ลดลง</v>
      </c>
    </row>
    <row r="24" customFormat="false" ht="15" hidden="false" customHeight="false" outlineLevel="0" collapsed="false">
      <c r="A24" s="14" t="n">
        <v>20</v>
      </c>
      <c r="B24" s="5" t="s">
        <v>180</v>
      </c>
      <c r="C24" s="5" t="s">
        <v>181</v>
      </c>
      <c r="D24" s="14" t="s">
        <v>166</v>
      </c>
      <c r="E24" s="14" t="n">
        <v>19</v>
      </c>
      <c r="F24" s="14" t="n">
        <v>17</v>
      </c>
      <c r="G24" s="19" t="n">
        <f aca="false">F24-E24</f>
        <v>-2</v>
      </c>
      <c r="H24" s="10" t="n">
        <f aca="false">IF(E24=0,"n/a",G24/E24)</f>
        <v>-0.105263157894737</v>
      </c>
      <c r="I24" s="8" t="n">
        <f aca="false">IF(25-E24=0,"n/a",G24/(25-E24))</f>
        <v>-0.333333333333333</v>
      </c>
      <c r="J24" s="14" t="str">
        <f aca="false">IF(G24&gt;0,"เพิ่มขึ้น",IF(G24=0,"เท่าเดิม","ลดลง"))</f>
        <v>ลดลง</v>
      </c>
    </row>
    <row r="25" customFormat="false" ht="15" hidden="false" customHeight="false" outlineLevel="0" collapsed="false">
      <c r="A25" s="14" t="n">
        <v>21</v>
      </c>
      <c r="B25" s="5" t="s">
        <v>173</v>
      </c>
      <c r="C25" s="5" t="s">
        <v>174</v>
      </c>
      <c r="D25" s="14" t="s">
        <v>166</v>
      </c>
      <c r="E25" s="14" t="n">
        <v>22</v>
      </c>
      <c r="F25" s="14" t="n">
        <v>20</v>
      </c>
      <c r="G25" s="19" t="n">
        <f aca="false">F25-E25</f>
        <v>-2</v>
      </c>
      <c r="H25" s="10" t="n">
        <f aca="false">IF(E25=0,"n/a",G25/E25)</f>
        <v>-0.0909090909090909</v>
      </c>
      <c r="I25" s="8" t="n">
        <f aca="false">IF(25-E25=0,"n/a",G25/(25-E25))</f>
        <v>-0.666666666666667</v>
      </c>
      <c r="J25" s="14" t="str">
        <f aca="false">IF(G25&gt;0,"เพิ่มขึ้น",IF(G25=0,"เท่าเดิม","ลดลง"))</f>
        <v>ลดลง</v>
      </c>
    </row>
    <row r="26" customFormat="false" ht="15" hidden="false" customHeight="false" outlineLevel="0" collapsed="false">
      <c r="A26" s="14" t="n">
        <v>22</v>
      </c>
      <c r="B26" s="5" t="s">
        <v>164</v>
      </c>
      <c r="C26" s="5" t="s">
        <v>165</v>
      </c>
      <c r="D26" s="14" t="s">
        <v>166</v>
      </c>
      <c r="E26" s="14" t="n">
        <v>23</v>
      </c>
      <c r="F26" s="14" t="n">
        <v>19</v>
      </c>
      <c r="G26" s="19" t="n">
        <f aca="false">F26-E26</f>
        <v>-4</v>
      </c>
      <c r="H26" s="10" t="n">
        <f aca="false">IF(E26=0,"n/a",G26/E26)</f>
        <v>-0.173913043478261</v>
      </c>
      <c r="I26" s="8" t="n">
        <f aca="false">IF(25-E26=0,"n/a",G26/(25-E26))</f>
        <v>-2</v>
      </c>
      <c r="J26" s="14" t="str">
        <f aca="false">IF(G26&gt;0,"เพิ่มขึ้น",IF(G26=0,"เท่าเดิม","ลดลง"))</f>
        <v>ลดลง</v>
      </c>
    </row>
    <row r="28" customFormat="false" ht="15" hidden="false" customHeight="false" outlineLevel="0" collapsed="false">
      <c r="B28" s="20" t="s">
        <v>285</v>
      </c>
      <c r="F28" s="22" t="n">
        <f aca="false">AVERAGE(E5:E26)</f>
        <v>14.5454545454545</v>
      </c>
    </row>
    <row r="29" customFormat="false" ht="15" hidden="false" customHeight="false" outlineLevel="0" collapsed="false">
      <c r="B29" s="20" t="s">
        <v>286</v>
      </c>
      <c r="F29" s="22" t="n">
        <f aca="false">AVERAGE(F5:F26)</f>
        <v>18.1818181818182</v>
      </c>
    </row>
    <row r="30" customFormat="false" ht="15" hidden="false" customHeight="false" outlineLevel="0" collapsed="false">
      <c r="B30" s="20" t="s">
        <v>287</v>
      </c>
      <c r="F30" s="22" t="n">
        <f aca="false">AVERAGE(G5:G26)</f>
        <v>3.63636363636364</v>
      </c>
    </row>
    <row r="31" customFormat="false" ht="15" hidden="false" customHeight="false" outlineLevel="0" collapsed="false">
      <c r="B31" s="20" t="s">
        <v>288</v>
      </c>
      <c r="F31" s="25" t="n">
        <f aca="false">IF(AVERAGE(E5:E26)=0,"n/a",AVERAGE(G5:G26)/AVERAGE(E5:E26))</f>
        <v>0.25</v>
      </c>
    </row>
    <row r="32" customFormat="false" ht="15" hidden="false" customHeight="false" outlineLevel="0" collapsed="false">
      <c r="B32" s="20" t="s">
        <v>22</v>
      </c>
      <c r="F32" s="22" t="n">
        <f aca="false">AVERAGE(I5:I26)</f>
        <v>0.175019876064768</v>
      </c>
    </row>
    <row r="33" customFormat="false" ht="15" hidden="false" customHeight="false" outlineLevel="0" collapsed="false">
      <c r="B33" s="20" t="s">
        <v>289</v>
      </c>
      <c r="F33" s="24" t="n">
        <f aca="false">COUNTIF(G5:G26,"&gt;0")</f>
        <v>17</v>
      </c>
    </row>
    <row r="34" customFormat="false" ht="15" hidden="false" customHeight="false" outlineLevel="0" collapsed="false">
      <c r="B34" s="20" t="s">
        <v>290</v>
      </c>
      <c r="F34" s="24" t="n">
        <f aca="false">COUNTIF(G5:G26,"=0")</f>
        <v>0</v>
      </c>
    </row>
    <row r="35" customFormat="false" ht="15" hidden="false" customHeight="false" outlineLevel="0" collapsed="false">
      <c r="B35" s="20" t="s">
        <v>291</v>
      </c>
      <c r="F35" s="24" t="n">
        <f aca="false">COUNTIF(G5:G26,"&lt;0")</f>
        <v>5</v>
      </c>
    </row>
  </sheetData>
  <conditionalFormatting sqref="G5:G26">
    <cfRule type="cellIs" priority="2" operator="greaterThan" aboveAverage="0" equalAverage="0" bottom="0" percent="0" rank="0" text="" dxfId="0">
      <formula>0</formula>
    </cfRule>
    <cfRule type="cellIs" priority="3" operator="lessThan" aboveAverage="0" equalAverage="0" bottom="0" percent="0" rank="0" text="" dxfId="1">
      <formula>0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20"/>
    <col collapsed="false" customWidth="true" hidden="false" outlineLevel="0" max="3" min="3" style="0" width="30"/>
    <col collapsed="false" customWidth="true" hidden="false" outlineLevel="0" max="4" min="4" style="0" width="34"/>
    <col collapsed="false" customWidth="true" hidden="false" outlineLevel="0" max="6" min="5" style="0" width="12"/>
    <col collapsed="false" customWidth="true" hidden="false" outlineLevel="0" max="7" min="7" style="0" width="14"/>
    <col collapsed="false" customWidth="true" hidden="false" outlineLevel="0" max="8" min="8" style="0" width="16"/>
  </cols>
  <sheetData>
    <row r="1" customFormat="false" ht="17.15" hidden="false" customHeight="false" outlineLevel="0" collapsed="false">
      <c r="A1" s="1" t="s">
        <v>292</v>
      </c>
    </row>
    <row r="2" customFormat="false" ht="15" hidden="false" customHeight="false" outlineLevel="0" collapsed="false">
      <c r="A2" s="2" t="s">
        <v>293</v>
      </c>
    </row>
    <row r="4" customFormat="false" ht="30" hidden="false" customHeight="true" outlineLevel="0" collapsed="false">
      <c r="A4" s="4" t="s">
        <v>39</v>
      </c>
      <c r="B4" s="4" t="s">
        <v>28</v>
      </c>
      <c r="C4" s="4" t="s">
        <v>40</v>
      </c>
      <c r="D4" s="4" t="s">
        <v>42</v>
      </c>
      <c r="E4" s="4" t="s">
        <v>29</v>
      </c>
      <c r="F4" s="4" t="s">
        <v>30</v>
      </c>
      <c r="G4" s="4" t="s">
        <v>294</v>
      </c>
      <c r="H4" s="4" t="s">
        <v>295</v>
      </c>
    </row>
    <row r="5" customFormat="false" ht="15" hidden="false" customHeight="false" outlineLevel="0" collapsed="false">
      <c r="A5" s="14" t="n">
        <v>1</v>
      </c>
      <c r="B5" s="5" t="s">
        <v>31</v>
      </c>
      <c r="C5" s="5" t="s">
        <v>45</v>
      </c>
      <c r="D5" s="5" t="s">
        <v>48</v>
      </c>
      <c r="E5" s="10" t="n">
        <f aca="false">AVERAGE(03_คะแนน_PreTest!F5:F32)</f>
        <v>0.642857142857143</v>
      </c>
      <c r="F5" s="10" t="n">
        <f aca="false">AVERAGE(04_คะแนน_PostTest!F5:F49)</f>
        <v>0.822222222222222</v>
      </c>
      <c r="G5" s="11" t="n">
        <f aca="false">F5-E5</f>
        <v>0.179365079365079</v>
      </c>
      <c r="H5" s="14" t="str">
        <f aca="false">IF(G5&gt;0.05,"ดีขึ้นชัดเจน",IF(G5&lt;-0.05,"แย่ลง","ใกล้เคียงเดิม"))</f>
        <v>ดีขึ้นชัดเจน</v>
      </c>
    </row>
    <row r="6" customFormat="false" ht="15" hidden="false" customHeight="false" outlineLevel="0" collapsed="false">
      <c r="A6" s="14" t="n">
        <v>2</v>
      </c>
      <c r="B6" s="5" t="s">
        <v>31</v>
      </c>
      <c r="C6" s="5" t="s">
        <v>50</v>
      </c>
      <c r="D6" s="5" t="s">
        <v>52</v>
      </c>
      <c r="E6" s="10" t="n">
        <f aca="false">AVERAGE(03_คะแนน_PreTest!G5:G32)</f>
        <v>0.25</v>
      </c>
      <c r="F6" s="10" t="n">
        <f aca="false">AVERAGE(04_คะแนน_PostTest!G5:G49)</f>
        <v>0.333333333333333</v>
      </c>
      <c r="G6" s="11" t="n">
        <f aca="false">F6-E6</f>
        <v>0.0833333333333333</v>
      </c>
      <c r="H6" s="14" t="str">
        <f aca="false">IF(G6&gt;0.05,"ดีขึ้นชัดเจน",IF(G6&lt;-0.05,"แย่ลง","ใกล้เคียงเดิม"))</f>
        <v>ดีขึ้นชัดเจน</v>
      </c>
    </row>
    <row r="7" customFormat="false" ht="15" hidden="false" customHeight="false" outlineLevel="0" collapsed="false">
      <c r="A7" s="14" t="n">
        <v>3</v>
      </c>
      <c r="B7" s="5" t="s">
        <v>31</v>
      </c>
      <c r="C7" s="5" t="s">
        <v>54</v>
      </c>
      <c r="D7" s="5" t="s">
        <v>57</v>
      </c>
      <c r="E7" s="10" t="n">
        <f aca="false">AVERAGE(03_คะแนน_PreTest!H5:H32)</f>
        <v>0.285714285714286</v>
      </c>
      <c r="F7" s="10" t="n">
        <f aca="false">AVERAGE(04_คะแนน_PostTest!H5:H49)</f>
        <v>0.666666666666667</v>
      </c>
      <c r="G7" s="11" t="n">
        <f aca="false">F7-E7</f>
        <v>0.380952380952381</v>
      </c>
      <c r="H7" s="14" t="str">
        <f aca="false">IF(G7&gt;0.05,"ดีขึ้นชัดเจน",IF(G7&lt;-0.05,"แย่ลง","ใกล้เคียงเดิม"))</f>
        <v>ดีขึ้นชัดเจน</v>
      </c>
    </row>
    <row r="8" customFormat="false" ht="15" hidden="false" customHeight="false" outlineLevel="0" collapsed="false">
      <c r="A8" s="14" t="n">
        <v>4</v>
      </c>
      <c r="B8" s="5" t="s">
        <v>32</v>
      </c>
      <c r="C8" s="5" t="s">
        <v>59</v>
      </c>
      <c r="D8" s="5" t="s">
        <v>61</v>
      </c>
      <c r="E8" s="10" t="n">
        <f aca="false">AVERAGE(03_คะแนน_PreTest!I5:I32)</f>
        <v>0.535714285714286</v>
      </c>
      <c r="F8" s="10" t="n">
        <f aca="false">AVERAGE(04_คะแนน_PostTest!I5:I49)</f>
        <v>0.711111111111111</v>
      </c>
      <c r="G8" s="11" t="n">
        <f aca="false">F8-E8</f>
        <v>0.175396825396825</v>
      </c>
      <c r="H8" s="14" t="str">
        <f aca="false">IF(G8&gt;0.05,"ดีขึ้นชัดเจน",IF(G8&lt;-0.05,"แย่ลง","ใกล้เคียงเดิม"))</f>
        <v>ดีขึ้นชัดเจน</v>
      </c>
    </row>
    <row r="9" customFormat="false" ht="15" hidden="false" customHeight="false" outlineLevel="0" collapsed="false">
      <c r="A9" s="14" t="n">
        <v>5</v>
      </c>
      <c r="B9" s="5" t="s">
        <v>32</v>
      </c>
      <c r="C9" s="5" t="s">
        <v>63</v>
      </c>
      <c r="D9" s="5" t="s">
        <v>65</v>
      </c>
      <c r="E9" s="10" t="n">
        <f aca="false">AVERAGE(03_คะแนน_PreTest!J5:J32)</f>
        <v>0.571428571428571</v>
      </c>
      <c r="F9" s="10" t="n">
        <f aca="false">AVERAGE(04_คะแนน_PostTest!J5:J49)</f>
        <v>0.8</v>
      </c>
      <c r="G9" s="11" t="n">
        <f aca="false">F9-E9</f>
        <v>0.228571428571429</v>
      </c>
      <c r="H9" s="14" t="str">
        <f aca="false">IF(G9&gt;0.05,"ดีขึ้นชัดเจน",IF(G9&lt;-0.05,"แย่ลง","ใกล้เคียงเดิม"))</f>
        <v>ดีขึ้นชัดเจน</v>
      </c>
    </row>
    <row r="10" customFormat="false" ht="15" hidden="false" customHeight="false" outlineLevel="0" collapsed="false">
      <c r="A10" s="14" t="n">
        <v>6</v>
      </c>
      <c r="B10" s="5" t="s">
        <v>32</v>
      </c>
      <c r="C10" s="5" t="s">
        <v>67</v>
      </c>
      <c r="D10" s="5" t="s">
        <v>68</v>
      </c>
      <c r="E10" s="10" t="n">
        <f aca="false">AVERAGE(03_คะแนน_PreTest!K5:K32)</f>
        <v>0.785714285714286</v>
      </c>
      <c r="F10" s="10" t="n">
        <f aca="false">AVERAGE(04_คะแนน_PostTest!K5:K49)</f>
        <v>0.866666666666667</v>
      </c>
      <c r="G10" s="11" t="n">
        <f aca="false">F10-E10</f>
        <v>0.080952380952381</v>
      </c>
      <c r="H10" s="14" t="str">
        <f aca="false">IF(G10&gt;0.05,"ดีขึ้นชัดเจน",IF(G10&lt;-0.05,"แย่ลง","ใกล้เคียงเดิม"))</f>
        <v>ดีขึ้นชัดเจน</v>
      </c>
    </row>
    <row r="11" customFormat="false" ht="15" hidden="false" customHeight="false" outlineLevel="0" collapsed="false">
      <c r="A11" s="14" t="n">
        <v>7</v>
      </c>
      <c r="B11" s="5" t="s">
        <v>32</v>
      </c>
      <c r="C11" s="5" t="s">
        <v>70</v>
      </c>
      <c r="D11" s="5" t="s">
        <v>71</v>
      </c>
      <c r="E11" s="10" t="n">
        <f aca="false">AVERAGE(03_คะแนน_PreTest!L5:L32)</f>
        <v>0.678571428571429</v>
      </c>
      <c r="F11" s="10" t="n">
        <f aca="false">AVERAGE(04_คะแนน_PostTest!L5:L49)</f>
        <v>0.733333333333333</v>
      </c>
      <c r="G11" s="11" t="n">
        <f aca="false">F11-E11</f>
        <v>0.0547619047619047</v>
      </c>
      <c r="H11" s="14" t="str">
        <f aca="false">IF(G11&gt;0.05,"ดีขึ้นชัดเจน",IF(G11&lt;-0.05,"แย่ลง","ใกล้เคียงเดิม"))</f>
        <v>ดีขึ้นชัดเจน</v>
      </c>
    </row>
    <row r="12" customFormat="false" ht="15" hidden="false" customHeight="false" outlineLevel="0" collapsed="false">
      <c r="A12" s="14" t="n">
        <v>8</v>
      </c>
      <c r="B12" s="5" t="s">
        <v>32</v>
      </c>
      <c r="C12" s="5" t="s">
        <v>73</v>
      </c>
      <c r="D12" s="5" t="s">
        <v>74</v>
      </c>
      <c r="E12" s="10" t="n">
        <f aca="false">AVERAGE(03_คะแนน_PreTest!M5:M32)</f>
        <v>0.428571428571429</v>
      </c>
      <c r="F12" s="10" t="n">
        <f aca="false">AVERAGE(04_คะแนน_PostTest!M5:M49)</f>
        <v>0.488888888888889</v>
      </c>
      <c r="G12" s="11" t="n">
        <f aca="false">F12-E12</f>
        <v>0.0603174603174603</v>
      </c>
      <c r="H12" s="14" t="str">
        <f aca="false">IF(G12&gt;0.05,"ดีขึ้นชัดเจน",IF(G12&lt;-0.05,"แย่ลง","ใกล้เคียงเดิม"))</f>
        <v>ดีขึ้นชัดเจน</v>
      </c>
    </row>
    <row r="13" customFormat="false" ht="15" hidden="false" customHeight="false" outlineLevel="0" collapsed="false">
      <c r="A13" s="14" t="n">
        <v>9</v>
      </c>
      <c r="B13" s="5" t="s">
        <v>32</v>
      </c>
      <c r="C13" s="5" t="s">
        <v>76</v>
      </c>
      <c r="D13" s="5" t="s">
        <v>77</v>
      </c>
      <c r="E13" s="10" t="n">
        <f aca="false">AVERAGE(03_คะแนน_PreTest!N5:N32)</f>
        <v>0.821428571428571</v>
      </c>
      <c r="F13" s="10" t="n">
        <f aca="false">AVERAGE(04_คะแนน_PostTest!N5:N49)</f>
        <v>0.888888888888889</v>
      </c>
      <c r="G13" s="11" t="n">
        <f aca="false">F13-E13</f>
        <v>0.0674603174603174</v>
      </c>
      <c r="H13" s="14" t="str">
        <f aca="false">IF(G13&gt;0.05,"ดีขึ้นชัดเจน",IF(G13&lt;-0.05,"แย่ลง","ใกล้เคียงเดิม"))</f>
        <v>ดีขึ้นชัดเจน</v>
      </c>
    </row>
    <row r="14" customFormat="false" ht="15" hidden="false" customHeight="false" outlineLevel="0" collapsed="false">
      <c r="A14" s="14" t="n">
        <v>10</v>
      </c>
      <c r="B14" s="5" t="s">
        <v>33</v>
      </c>
      <c r="C14" s="5" t="s">
        <v>79</v>
      </c>
      <c r="D14" s="5" t="s">
        <v>81</v>
      </c>
      <c r="E14" s="10" t="n">
        <f aca="false">AVERAGE(03_คะแนน_PreTest!O5:O32)</f>
        <v>0.678571428571429</v>
      </c>
      <c r="F14" s="10" t="n">
        <f aca="false">AVERAGE(04_คะแนน_PostTest!O5:O49)</f>
        <v>0.888888888888889</v>
      </c>
      <c r="G14" s="11" t="n">
        <f aca="false">F14-E14</f>
        <v>0.21031746031746</v>
      </c>
      <c r="H14" s="14" t="str">
        <f aca="false">IF(G14&gt;0.05,"ดีขึ้นชัดเจน",IF(G14&lt;-0.05,"แย่ลง","ใกล้เคียงเดิม"))</f>
        <v>ดีขึ้นชัดเจน</v>
      </c>
    </row>
    <row r="15" customFormat="false" ht="15" hidden="false" customHeight="false" outlineLevel="0" collapsed="false">
      <c r="A15" s="14" t="n">
        <v>11</v>
      </c>
      <c r="B15" s="5" t="s">
        <v>33</v>
      </c>
      <c r="C15" s="5" t="s">
        <v>83</v>
      </c>
      <c r="D15" s="5" t="s">
        <v>85</v>
      </c>
      <c r="E15" s="10" t="n">
        <f aca="false">AVERAGE(03_คะแนน_PreTest!P5:P32)</f>
        <v>0.5</v>
      </c>
      <c r="F15" s="10" t="n">
        <f aca="false">AVERAGE(04_คะแนน_PostTest!P5:P49)</f>
        <v>0.733333333333333</v>
      </c>
      <c r="G15" s="11" t="n">
        <f aca="false">F15-E15</f>
        <v>0.233333333333333</v>
      </c>
      <c r="H15" s="14" t="str">
        <f aca="false">IF(G15&gt;0.05,"ดีขึ้นชัดเจน",IF(G15&lt;-0.05,"แย่ลง","ใกล้เคียงเดิม"))</f>
        <v>ดีขึ้นชัดเจน</v>
      </c>
    </row>
    <row r="16" customFormat="false" ht="15" hidden="false" customHeight="false" outlineLevel="0" collapsed="false">
      <c r="A16" s="14" t="n">
        <v>12</v>
      </c>
      <c r="B16" s="5" t="s">
        <v>33</v>
      </c>
      <c r="C16" s="5" t="s">
        <v>87</v>
      </c>
      <c r="D16" s="5" t="s">
        <v>88</v>
      </c>
      <c r="E16" s="10" t="n">
        <f aca="false">AVERAGE(03_คะแนน_PreTest!Q5:Q32)</f>
        <v>0.678571428571429</v>
      </c>
      <c r="F16" s="10" t="n">
        <f aca="false">AVERAGE(04_คะแนน_PostTest!Q5:Q49)</f>
        <v>0.777777777777778</v>
      </c>
      <c r="G16" s="11" t="n">
        <f aca="false">F16-E16</f>
        <v>0.0992063492063492</v>
      </c>
      <c r="H16" s="14" t="str">
        <f aca="false">IF(G16&gt;0.05,"ดีขึ้นชัดเจน",IF(G16&lt;-0.05,"แย่ลง","ใกล้เคียงเดิม"))</f>
        <v>ดีขึ้นชัดเจน</v>
      </c>
    </row>
    <row r="17" customFormat="false" ht="15" hidden="false" customHeight="false" outlineLevel="0" collapsed="false">
      <c r="A17" s="14" t="n">
        <v>13</v>
      </c>
      <c r="B17" s="5" t="s">
        <v>34</v>
      </c>
      <c r="C17" s="5" t="s">
        <v>90</v>
      </c>
      <c r="D17" s="5" t="s">
        <v>92</v>
      </c>
      <c r="E17" s="10" t="n">
        <f aca="false">AVERAGE(03_คะแนน_PreTest!R5:R32)</f>
        <v>0.321428571428571</v>
      </c>
      <c r="F17" s="10" t="n">
        <f aca="false">AVERAGE(04_คะแนน_PostTest!R5:R49)</f>
        <v>0.666666666666667</v>
      </c>
      <c r="G17" s="11" t="n">
        <f aca="false">F17-E17</f>
        <v>0.345238095238095</v>
      </c>
      <c r="H17" s="14" t="str">
        <f aca="false">IF(G17&gt;0.05,"ดีขึ้นชัดเจน",IF(G17&lt;-0.05,"แย่ลง","ใกล้เคียงเดิม"))</f>
        <v>ดีขึ้นชัดเจน</v>
      </c>
    </row>
    <row r="18" customFormat="false" ht="15" hidden="false" customHeight="false" outlineLevel="0" collapsed="false">
      <c r="A18" s="14" t="n">
        <v>14</v>
      </c>
      <c r="B18" s="5" t="s">
        <v>34</v>
      </c>
      <c r="C18" s="5" t="s">
        <v>94</v>
      </c>
      <c r="D18" s="5" t="s">
        <v>48</v>
      </c>
      <c r="E18" s="10" t="n">
        <f aca="false">AVERAGE(03_คะแนน_PreTest!S5:S32)</f>
        <v>0.357142857142857</v>
      </c>
      <c r="F18" s="10" t="n">
        <f aca="false">AVERAGE(04_คะแนน_PostTest!S5:S49)</f>
        <v>0.622222222222222</v>
      </c>
      <c r="G18" s="11" t="n">
        <f aca="false">F18-E18</f>
        <v>0.265079365079365</v>
      </c>
      <c r="H18" s="14" t="str">
        <f aca="false">IF(G18&gt;0.05,"ดีขึ้นชัดเจน",IF(G18&lt;-0.05,"แย่ลง","ใกล้เคียงเดิม"))</f>
        <v>ดีขึ้นชัดเจน</v>
      </c>
    </row>
    <row r="19" customFormat="false" ht="15" hidden="false" customHeight="false" outlineLevel="0" collapsed="false">
      <c r="A19" s="14" t="n">
        <v>15</v>
      </c>
      <c r="B19" s="5" t="s">
        <v>34</v>
      </c>
      <c r="C19" s="5" t="s">
        <v>96</v>
      </c>
      <c r="D19" s="5" t="s">
        <v>97</v>
      </c>
      <c r="E19" s="10" t="n">
        <f aca="false">AVERAGE(03_คะแนน_PreTest!T5:T32)</f>
        <v>0.5</v>
      </c>
      <c r="F19" s="10" t="n">
        <f aca="false">AVERAGE(04_คะแนน_PostTest!T5:T49)</f>
        <v>0.622222222222222</v>
      </c>
      <c r="G19" s="11" t="n">
        <f aca="false">F19-E19</f>
        <v>0.122222222222222</v>
      </c>
      <c r="H19" s="14" t="str">
        <f aca="false">IF(G19&gt;0.05,"ดีขึ้นชัดเจน",IF(G19&lt;-0.05,"แย่ลง","ใกล้เคียงเดิม"))</f>
        <v>ดีขึ้นชัดเจน</v>
      </c>
    </row>
    <row r="20" customFormat="false" ht="15" hidden="false" customHeight="false" outlineLevel="0" collapsed="false">
      <c r="A20" s="14" t="n">
        <v>16</v>
      </c>
      <c r="B20" s="5" t="s">
        <v>34</v>
      </c>
      <c r="C20" s="5" t="s">
        <v>99</v>
      </c>
      <c r="D20" s="5" t="s">
        <v>100</v>
      </c>
      <c r="E20" s="10" t="n">
        <f aca="false">AVERAGE(03_คะแนน_PreTest!U5:U32)</f>
        <v>0.75</v>
      </c>
      <c r="F20" s="10" t="n">
        <f aca="false">AVERAGE(04_คะแนน_PostTest!U5:U49)</f>
        <v>0.822222222222222</v>
      </c>
      <c r="G20" s="11" t="n">
        <f aca="false">F20-E20</f>
        <v>0.0722222222222222</v>
      </c>
      <c r="H20" s="14" t="str">
        <f aca="false">IF(G20&gt;0.05,"ดีขึ้นชัดเจน",IF(G20&lt;-0.05,"แย่ลง","ใกล้เคียงเดิม"))</f>
        <v>ดีขึ้นชัดเจน</v>
      </c>
    </row>
    <row r="21" customFormat="false" ht="15" hidden="false" customHeight="false" outlineLevel="0" collapsed="false">
      <c r="A21" s="14" t="n">
        <v>17</v>
      </c>
      <c r="B21" s="5" t="s">
        <v>35</v>
      </c>
      <c r="C21" s="5" t="s">
        <v>102</v>
      </c>
      <c r="D21" s="5" t="s">
        <v>103</v>
      </c>
      <c r="E21" s="10" t="n">
        <f aca="false">AVERAGE(03_คะแนน_PreTest!V5:V32)</f>
        <v>0.142857142857143</v>
      </c>
      <c r="F21" s="10" t="n">
        <f aca="false">AVERAGE(04_คะแนน_PostTest!V5:V49)</f>
        <v>0.533333333333333</v>
      </c>
      <c r="G21" s="11" t="n">
        <f aca="false">F21-E21</f>
        <v>0.390476190476191</v>
      </c>
      <c r="H21" s="14" t="str">
        <f aca="false">IF(G21&gt;0.05,"ดีขึ้นชัดเจน",IF(G21&lt;-0.05,"แย่ลง","ใกล้เคียงเดิม"))</f>
        <v>ดีขึ้นชัดเจน</v>
      </c>
    </row>
    <row r="22" customFormat="false" ht="15" hidden="false" customHeight="false" outlineLevel="0" collapsed="false">
      <c r="A22" s="14" t="n">
        <v>18</v>
      </c>
      <c r="B22" s="5" t="s">
        <v>35</v>
      </c>
      <c r="C22" s="5" t="s">
        <v>105</v>
      </c>
      <c r="D22" s="5" t="s">
        <v>106</v>
      </c>
      <c r="E22" s="10" t="n">
        <f aca="false">AVERAGE(03_คะแนน_PreTest!W5:W32)</f>
        <v>0.642857142857143</v>
      </c>
      <c r="F22" s="10" t="n">
        <f aca="false">AVERAGE(04_คะแนน_PostTest!W5:W49)</f>
        <v>0.933333333333333</v>
      </c>
      <c r="G22" s="11" t="n">
        <f aca="false">F22-E22</f>
        <v>0.29047619047619</v>
      </c>
      <c r="H22" s="14" t="str">
        <f aca="false">IF(G22&gt;0.05,"ดีขึ้นชัดเจน",IF(G22&lt;-0.05,"แย่ลง","ใกล้เคียงเดิม"))</f>
        <v>ดีขึ้นชัดเจน</v>
      </c>
    </row>
    <row r="23" customFormat="false" ht="15" hidden="false" customHeight="false" outlineLevel="0" collapsed="false">
      <c r="A23" s="14" t="n">
        <v>19</v>
      </c>
      <c r="B23" s="5" t="s">
        <v>35</v>
      </c>
      <c r="C23" s="5" t="s">
        <v>108</v>
      </c>
      <c r="D23" s="5" t="s">
        <v>109</v>
      </c>
      <c r="E23" s="10" t="n">
        <f aca="false">AVERAGE(03_คะแนน_PreTest!X5:X32)</f>
        <v>0.428571428571429</v>
      </c>
      <c r="F23" s="10" t="n">
        <f aca="false">AVERAGE(04_คะแนน_PostTest!X5:X49)</f>
        <v>0.688888888888889</v>
      </c>
      <c r="G23" s="11" t="n">
        <f aca="false">F23-E23</f>
        <v>0.26031746031746</v>
      </c>
      <c r="H23" s="14" t="str">
        <f aca="false">IF(G23&gt;0.05,"ดีขึ้นชัดเจน",IF(G23&lt;-0.05,"แย่ลง","ใกล้เคียงเดิม"))</f>
        <v>ดีขึ้นชัดเจน</v>
      </c>
    </row>
    <row r="24" customFormat="false" ht="15" hidden="false" customHeight="false" outlineLevel="0" collapsed="false">
      <c r="A24" s="14" t="n">
        <v>20</v>
      </c>
      <c r="B24" s="5" t="s">
        <v>35</v>
      </c>
      <c r="C24" s="5" t="s">
        <v>111</v>
      </c>
      <c r="D24" s="5" t="s">
        <v>112</v>
      </c>
      <c r="E24" s="10" t="n">
        <f aca="false">AVERAGE(03_คะแนน_PreTest!Y5:Y32)</f>
        <v>0.571428571428571</v>
      </c>
      <c r="F24" s="10" t="n">
        <f aca="false">AVERAGE(04_คะแนน_PostTest!Y5:Y49)</f>
        <v>0.622222222222222</v>
      </c>
      <c r="G24" s="11" t="n">
        <f aca="false">F24-E24</f>
        <v>0.0507936507936508</v>
      </c>
      <c r="H24" s="14" t="str">
        <f aca="false">IF(G24&gt;0.05,"ดีขึ้นชัดเจน",IF(G24&lt;-0.05,"แย่ลง","ใกล้เคียงเดิม"))</f>
        <v>ดีขึ้นชัดเจน</v>
      </c>
    </row>
    <row r="25" customFormat="false" ht="15" hidden="false" customHeight="false" outlineLevel="0" collapsed="false">
      <c r="A25" s="14" t="n">
        <v>21</v>
      </c>
      <c r="B25" s="5" t="s">
        <v>36</v>
      </c>
      <c r="C25" s="5" t="s">
        <v>114</v>
      </c>
      <c r="D25" s="5" t="s">
        <v>115</v>
      </c>
      <c r="E25" s="10" t="n">
        <f aca="false">AVERAGE(03_คะแนน_PreTest!Z5:Z32)</f>
        <v>0.642857142857143</v>
      </c>
      <c r="F25" s="10" t="n">
        <f aca="false">AVERAGE(04_คะแนน_PostTest!Z5:Z49)</f>
        <v>0.955555555555556</v>
      </c>
      <c r="G25" s="11" t="n">
        <f aca="false">F25-E25</f>
        <v>0.312698412698413</v>
      </c>
      <c r="H25" s="14" t="str">
        <f aca="false">IF(G25&gt;0.05,"ดีขึ้นชัดเจน",IF(G25&lt;-0.05,"แย่ลง","ใกล้เคียงเดิม"))</f>
        <v>ดีขึ้นชัดเจน</v>
      </c>
    </row>
    <row r="26" customFormat="false" ht="15" hidden="false" customHeight="false" outlineLevel="0" collapsed="false">
      <c r="A26" s="14" t="n">
        <v>22</v>
      </c>
      <c r="B26" s="5" t="s">
        <v>36</v>
      </c>
      <c r="C26" s="5" t="s">
        <v>117</v>
      </c>
      <c r="D26" s="5" t="s">
        <v>118</v>
      </c>
      <c r="E26" s="10" t="n">
        <f aca="false">AVERAGE(03_คะแนน_PreTest!AA5:AA32)</f>
        <v>0.821428571428571</v>
      </c>
      <c r="F26" s="10" t="n">
        <f aca="false">AVERAGE(04_คะแนน_PostTest!AA5:AA49)</f>
        <v>0.844444444444444</v>
      </c>
      <c r="G26" s="11" t="n">
        <f aca="false">F26-E26</f>
        <v>0.023015873015873</v>
      </c>
      <c r="H26" s="14" t="str">
        <f aca="false">IF(G26&gt;0.05,"ดีขึ้นชัดเจน",IF(G26&lt;-0.05,"แย่ลง","ใกล้เคียงเดิม"))</f>
        <v>ใกล้เคียงเดิม</v>
      </c>
    </row>
    <row r="27" customFormat="false" ht="15" hidden="false" customHeight="false" outlineLevel="0" collapsed="false">
      <c r="A27" s="14" t="n">
        <v>23</v>
      </c>
      <c r="B27" s="5" t="s">
        <v>36</v>
      </c>
      <c r="C27" s="5" t="s">
        <v>120</v>
      </c>
      <c r="D27" s="5" t="s">
        <v>121</v>
      </c>
      <c r="E27" s="10" t="n">
        <f aca="false">AVERAGE(03_คะแนน_PreTest!AB5:AB32)</f>
        <v>0.928571428571429</v>
      </c>
      <c r="F27" s="10" t="n">
        <f aca="false">AVERAGE(04_คะแนน_PostTest!AB5:AB49)</f>
        <v>0.8</v>
      </c>
      <c r="G27" s="11" t="n">
        <f aca="false">F27-E27</f>
        <v>-0.128571428571429</v>
      </c>
      <c r="H27" s="14" t="str">
        <f aca="false">IF(G27&gt;0.05,"ดีขึ้นชัดเจน",IF(G27&lt;-0.05,"แย่ลง","ใกล้เคียงเดิม"))</f>
        <v>แย่ลง</v>
      </c>
    </row>
    <row r="28" customFormat="false" ht="15" hidden="false" customHeight="false" outlineLevel="0" collapsed="false">
      <c r="A28" s="14" t="n">
        <v>24</v>
      </c>
      <c r="B28" s="5" t="s">
        <v>36</v>
      </c>
      <c r="C28" s="5" t="s">
        <v>123</v>
      </c>
      <c r="D28" s="5" t="s">
        <v>124</v>
      </c>
      <c r="E28" s="10" t="n">
        <f aca="false">AVERAGE(03_คะแนน_PreTest!AC5:AC32)</f>
        <v>0.642857142857143</v>
      </c>
      <c r="F28" s="10" t="n">
        <f aca="false">AVERAGE(04_คะแนน_PostTest!AC5:AC49)</f>
        <v>0.688888888888889</v>
      </c>
      <c r="G28" s="11" t="n">
        <f aca="false">F28-E28</f>
        <v>0.046031746031746</v>
      </c>
      <c r="H28" s="14" t="str">
        <f aca="false">IF(G28&gt;0.05,"ดีขึ้นชัดเจน",IF(G28&lt;-0.05,"แย่ลง","ใกล้เคียงเดิม"))</f>
        <v>ใกล้เคียงเดิม</v>
      </c>
    </row>
    <row r="29" customFormat="false" ht="15" hidden="false" customHeight="false" outlineLevel="0" collapsed="false">
      <c r="A29" s="14" t="n">
        <v>25</v>
      </c>
      <c r="B29" s="5" t="s">
        <v>36</v>
      </c>
      <c r="C29" s="5" t="s">
        <v>126</v>
      </c>
      <c r="D29" s="5" t="s">
        <v>127</v>
      </c>
      <c r="E29" s="10" t="n">
        <f aca="false">AVERAGE(03_คะแนน_PreTest!AD5:AD32)</f>
        <v>0.428571428571429</v>
      </c>
      <c r="F29" s="10" t="n">
        <f aca="false">AVERAGE(04_คะแนน_PostTest!AD5:AD49)</f>
        <v>0.711111111111111</v>
      </c>
      <c r="G29" s="11" t="n">
        <f aca="false">F29-E29</f>
        <v>0.282539682539683</v>
      </c>
      <c r="H29" s="14" t="str">
        <f aca="false">IF(G29&gt;0.05,"ดีขึ้นชัดเจน",IF(G29&lt;-0.05,"แย่ลง","ใกล้เคียงเดิม"))</f>
        <v>ดีขึ้นชัดเจน</v>
      </c>
    </row>
  </sheetData>
  <conditionalFormatting sqref="E5:F29">
    <cfRule type="colorScale" priority="2">
      <colorScale>
        <cfvo type="num" val="0"/>
        <cfvo type="num" val="0.5"/>
        <cfvo type="num" val="1"/>
        <color rgb="FFF8696B"/>
        <color rgb="FFFFEB84"/>
        <color rgb="FF63BE7B"/>
      </colorScale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0"/>
    <col collapsed="false" customWidth="true" hidden="false" outlineLevel="0" max="3" min="3" style="0" width="22"/>
    <col collapsed="false" customWidth="true" hidden="false" outlineLevel="0" max="5" min="4" style="0" width="12"/>
    <col collapsed="false" customWidth="true" hidden="false" outlineLevel="0" max="7" min="6" style="0" width="14"/>
  </cols>
  <sheetData>
    <row r="1" customFormat="false" ht="17.15" hidden="false" customHeight="false" outlineLevel="0" collapsed="false">
      <c r="A1" s="1" t="s">
        <v>296</v>
      </c>
    </row>
    <row r="2" customFormat="false" ht="15" hidden="false" customHeight="false" outlineLevel="0" collapsed="false">
      <c r="A2" s="2" t="s">
        <v>297</v>
      </c>
    </row>
    <row r="4" customFormat="false" ht="30" hidden="false" customHeight="true" outlineLevel="0" collapsed="false">
      <c r="A4" s="4" t="s">
        <v>298</v>
      </c>
      <c r="B4" s="4" t="s">
        <v>299</v>
      </c>
      <c r="C4" s="4" t="s">
        <v>300</v>
      </c>
      <c r="D4" s="4" t="s">
        <v>29</v>
      </c>
      <c r="E4" s="4" t="s">
        <v>30</v>
      </c>
      <c r="F4" s="4" t="s">
        <v>294</v>
      </c>
      <c r="G4" s="4" t="s">
        <v>301</v>
      </c>
    </row>
    <row r="5" customFormat="false" ht="15" hidden="false" customHeight="false" outlineLevel="0" collapsed="false">
      <c r="A5" s="5" t="s">
        <v>31</v>
      </c>
      <c r="B5" s="14" t="n">
        <v>3</v>
      </c>
      <c r="C5" s="5" t="s">
        <v>302</v>
      </c>
      <c r="D5" s="10" t="n">
        <f aca="false">(06_วิเคราะห์รายข้อ!E5+06_วิเคราะห์รายข้อ!E6+06_วิเคราะห์รายข้อ!E7)/3</f>
        <v>0.392857142857143</v>
      </c>
      <c r="E5" s="10" t="n">
        <f aca="false">(06_วิเคราะห์รายข้อ!F5+06_วิเคราะห์รายข้อ!F6+06_วิเคราะห์รายข้อ!F7)/3</f>
        <v>0.607407407407407</v>
      </c>
      <c r="F5" s="11" t="n">
        <f aca="false">E5-D5</f>
        <v>0.214550264550264</v>
      </c>
      <c r="G5" s="10" t="n">
        <f aca="false">IF(D5=0,"n/a",F5/D5)</f>
        <v>0.546127946127946</v>
      </c>
    </row>
    <row r="6" customFormat="false" ht="15" hidden="false" customHeight="false" outlineLevel="0" collapsed="false">
      <c r="A6" s="5" t="s">
        <v>32</v>
      </c>
      <c r="B6" s="14" t="n">
        <v>6</v>
      </c>
      <c r="C6" s="5" t="s">
        <v>303</v>
      </c>
      <c r="D6" s="10" t="n">
        <f aca="false">(06_วิเคราะห์รายข้อ!E8+06_วิเคราะห์รายข้อ!E9+06_วิเคราะห์รายข้อ!E10+06_วิเคราะห์รายข้อ!E11+06_วิเคราะห์รายข้อ!E12+06_วิเคราะห์รายข้อ!E13)/6</f>
        <v>0.636904761904762</v>
      </c>
      <c r="E6" s="10" t="n">
        <f aca="false">(06_วิเคราะห์รายข้อ!F8+06_วิเคราะห์รายข้อ!F9+06_วิเคราะห์รายข้อ!F10+06_วิเคราะห์รายข้อ!F11+06_วิเคราะห์รายข้อ!F12+06_วิเคราะห์รายข้อ!F13)/6</f>
        <v>0.748148148148148</v>
      </c>
      <c r="F6" s="11" t="n">
        <f aca="false">E6-D6</f>
        <v>0.111243386243386</v>
      </c>
      <c r="G6" s="10" t="n">
        <f aca="false">IF(D6=0,"n/a",F6/D6)</f>
        <v>0.17466251298027</v>
      </c>
    </row>
    <row r="7" customFormat="false" ht="15" hidden="false" customHeight="false" outlineLevel="0" collapsed="false">
      <c r="A7" s="5" t="s">
        <v>33</v>
      </c>
      <c r="B7" s="14" t="n">
        <v>3</v>
      </c>
      <c r="C7" s="5" t="s">
        <v>304</v>
      </c>
      <c r="D7" s="10" t="n">
        <f aca="false">(06_วิเคราะห์รายข้อ!E14+06_วิเคราะห์รายข้อ!E15+06_วิเคราะห์รายข้อ!E16)/3</f>
        <v>0.619047619047619</v>
      </c>
      <c r="E7" s="10" t="n">
        <f aca="false">(06_วิเคราะห์รายข้อ!F14+06_วิเคราะห์รายข้อ!F15+06_วิเคราะห์รายข้อ!F16)/3</f>
        <v>0.8</v>
      </c>
      <c r="F7" s="11" t="n">
        <f aca="false">E7-D7</f>
        <v>0.180952380952381</v>
      </c>
      <c r="G7" s="10" t="n">
        <f aca="false">IF(D7=0,"n/a",F7/D7)</f>
        <v>0.292307692307692</v>
      </c>
    </row>
    <row r="8" customFormat="false" ht="15" hidden="false" customHeight="false" outlineLevel="0" collapsed="false">
      <c r="A8" s="5" t="s">
        <v>34</v>
      </c>
      <c r="B8" s="14" t="n">
        <v>4</v>
      </c>
      <c r="C8" s="5" t="s">
        <v>305</v>
      </c>
      <c r="D8" s="10" t="n">
        <f aca="false">(06_วิเคราะห์รายข้อ!E17+06_วิเคราะห์รายข้อ!E18+06_วิเคราะห์รายข้อ!E19+06_วิเคราะห์รายข้อ!E20)/4</f>
        <v>0.482142857142857</v>
      </c>
      <c r="E8" s="10" t="n">
        <f aca="false">(06_วิเคราะห์รายข้อ!F17+06_วิเคราะห์รายข้อ!F18+06_วิเคราะห์รายข้อ!F19+06_วิเคราะห์รายข้อ!F20)/4</f>
        <v>0.683333333333333</v>
      </c>
      <c r="F8" s="11" t="n">
        <f aca="false">E8-D8</f>
        <v>0.201190476190476</v>
      </c>
      <c r="G8" s="10" t="n">
        <f aca="false">IF(D8=0,"n/a",F8/D8)</f>
        <v>0.417283950617284</v>
      </c>
    </row>
    <row r="9" customFormat="false" ht="15" hidden="false" customHeight="false" outlineLevel="0" collapsed="false">
      <c r="A9" s="5" t="s">
        <v>35</v>
      </c>
      <c r="B9" s="14" t="n">
        <v>4</v>
      </c>
      <c r="C9" s="5" t="s">
        <v>306</v>
      </c>
      <c r="D9" s="10" t="n">
        <f aca="false">(06_วิเคราะห์รายข้อ!E21+06_วิเคราะห์รายข้อ!E22+06_วิเคราะห์รายข้อ!E23+06_วิเคราะห์รายข้อ!E24)/4</f>
        <v>0.446428571428571</v>
      </c>
      <c r="E9" s="10" t="n">
        <f aca="false">(06_วิเคราะห์รายข้อ!F21+06_วิเคราะห์รายข้อ!F22+06_วิเคราะห์รายข้อ!F23+06_วิเคราะห์รายข้อ!F24)/4</f>
        <v>0.694444444444445</v>
      </c>
      <c r="F9" s="11" t="n">
        <f aca="false">E9-D9</f>
        <v>0.248015873015873</v>
      </c>
      <c r="G9" s="10" t="n">
        <f aca="false">IF(D9=0,"n/a",F9/D9)</f>
        <v>0.555555555555556</v>
      </c>
    </row>
    <row r="10" customFormat="false" ht="15" hidden="false" customHeight="false" outlineLevel="0" collapsed="false">
      <c r="A10" s="5" t="s">
        <v>36</v>
      </c>
      <c r="B10" s="14" t="n">
        <v>5</v>
      </c>
      <c r="C10" s="5" t="s">
        <v>307</v>
      </c>
      <c r="D10" s="10" t="n">
        <f aca="false">(06_วิเคราะห์รายข้อ!E25+06_วิเคราะห์รายข้อ!E26+06_วิเคราะห์รายข้อ!E27+06_วิเคราะห์รายข้อ!E28+06_วิเคราะห์รายข้อ!E29)/5</f>
        <v>0.692857142857143</v>
      </c>
      <c r="E10" s="10" t="n">
        <f aca="false">(06_วิเคราะห์รายข้อ!F25+06_วิเคราะห์รายข้อ!F26+06_วิเคราะห์รายข้อ!F27+06_วิเคราะห์รายข้อ!F28+06_วิเคราะห์รายข้อ!F29)/5</f>
        <v>0.8</v>
      </c>
      <c r="F10" s="11" t="n">
        <f aca="false">E10-D10</f>
        <v>0.107142857142857</v>
      </c>
      <c r="G10" s="10" t="n">
        <f aca="false">IF(D10=0,"n/a",F10/D10)</f>
        <v>0.154639175257732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5" min="1" style="0" width="12"/>
    <col collapsed="false" customWidth="true" hidden="false" outlineLevel="0" max="8" min="6" style="0" width="14"/>
  </cols>
  <sheetData>
    <row r="1" customFormat="false" ht="17.35" hidden="false" customHeight="false" outlineLevel="0" collapsed="false">
      <c r="A1" s="1" t="s">
        <v>308</v>
      </c>
    </row>
    <row r="2" customFormat="false" ht="15" hidden="false" customHeight="false" outlineLevel="0" collapsed="false">
      <c r="A2" s="2" t="s">
        <v>309</v>
      </c>
    </row>
    <row r="4" customFormat="false" ht="30" hidden="false" customHeight="true" outlineLevel="0" collapsed="false">
      <c r="A4" s="4" t="s">
        <v>134</v>
      </c>
      <c r="B4" s="4" t="s">
        <v>310</v>
      </c>
      <c r="C4" s="4" t="s">
        <v>311</v>
      </c>
      <c r="D4" s="4" t="s">
        <v>312</v>
      </c>
      <c r="E4" s="4" t="s">
        <v>313</v>
      </c>
      <c r="F4" s="4" t="s">
        <v>314</v>
      </c>
      <c r="G4" s="4" t="s">
        <v>315</v>
      </c>
      <c r="H4" s="4" t="s">
        <v>316</v>
      </c>
    </row>
    <row r="5" customFormat="false" ht="15" hidden="false" customHeight="false" outlineLevel="0" collapsed="false">
      <c r="A5" s="14" t="s">
        <v>166</v>
      </c>
      <c r="B5" s="14" t="n">
        <f aca="false">COUNTIF(03_คะแนน_PreTest!D5:D32,A5)</f>
        <v>16</v>
      </c>
      <c r="C5" s="8" t="n">
        <f aca="false">IFERROR(AVERAGEIF(03_คะแนน_PreTest!D5:D32,A5,03_คะแนน_PreTest!AE5:AE32),"-")</f>
        <v>15.125</v>
      </c>
      <c r="D5" s="14" t="n">
        <f aca="false">COUNTIF(04_คะแนน_PostTest!D5:D49,A5)</f>
        <v>22</v>
      </c>
      <c r="E5" s="8" t="n">
        <f aca="false">IFERROR(AVERAGEIF(04_คะแนน_PostTest!D5:D49,A5,04_คะแนน_PostTest!AE5:AE49),"-")</f>
        <v>17.5454545454545</v>
      </c>
      <c r="F5" s="14" t="n">
        <f aca="false">COUNTIF(05_เปรียบเทียบ_PrePost!D5:D26,A5)</f>
        <v>13</v>
      </c>
      <c r="G5" s="9" t="n">
        <f aca="false">IFERROR(AVERAGEIF(05_เปรียบเทียบ_PrePost!D5:D26,A5,05_เปรียบเทียบ_PrePost!G5:G26),"-")</f>
        <v>3.69230769230769</v>
      </c>
      <c r="H5" s="8" t="n">
        <f aca="false">IFERROR(AVERAGEIF(05_เปรียบเทียบ_PrePost!D5:D26,A5,05_เปรียบเทียบ_PrePost!E5:E26),"-")</f>
        <v>16</v>
      </c>
    </row>
    <row r="6" customFormat="false" ht="15" hidden="false" customHeight="false" outlineLevel="0" collapsed="false">
      <c r="A6" s="14" t="s">
        <v>170</v>
      </c>
      <c r="B6" s="14" t="n">
        <f aca="false">COUNTIF(03_คะแนน_PreTest!D5:D32,A6)</f>
        <v>12</v>
      </c>
      <c r="C6" s="8" t="n">
        <f aca="false">IFERROR(AVERAGEIF(03_คะแนน_PreTest!D5:D32,A6,03_คะแนน_PreTest!AE5:AE32),"-")</f>
        <v>12.5833333333333</v>
      </c>
      <c r="D6" s="14" t="n">
        <f aca="false">COUNTIF(04_คะแนน_PostTest!D5:D49,A6)</f>
        <v>23</v>
      </c>
      <c r="E6" s="8" t="n">
        <f aca="false">IFERROR(AVERAGEIF(04_คะแนน_PostTest!D5:D49,A6,04_คะแนน_PostTest!AE5:AE49),"-")</f>
        <v>18.8695652173913</v>
      </c>
      <c r="F6" s="14" t="n">
        <f aca="false">COUNTIF(05_เปรียบเทียบ_PrePost!D5:D26,A6)</f>
        <v>9</v>
      </c>
      <c r="G6" s="9" t="n">
        <f aca="false">IFERROR(AVERAGEIF(05_เปรียบเทียบ_PrePost!D5:D26,A6,05_เปรียบเทียบ_PrePost!G5:G26),"-")</f>
        <v>3.55555555555556</v>
      </c>
      <c r="H6" s="8" t="n">
        <f aca="false">IFERROR(AVERAGEIF(05_เปรียบเทียบ_PrePost!D5:D26,A6,05_เปรียบเทียบ_PrePost!E5:E26),"-")</f>
        <v>12.4444444444444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22"/>
    <col collapsed="false" customWidth="true" hidden="false" outlineLevel="0" max="4" min="3" style="0" width="14"/>
    <col collapsed="false" customWidth="true" hidden="false" outlineLevel="0" max="6" min="5" style="0" width="12"/>
  </cols>
  <sheetData>
    <row r="1" customFormat="false" ht="17.15" hidden="false" customHeight="false" outlineLevel="0" collapsed="false">
      <c r="A1" s="1" t="s">
        <v>317</v>
      </c>
    </row>
    <row r="2" customFormat="false" ht="15" hidden="false" customHeight="false" outlineLevel="0" collapsed="false">
      <c r="A2" s="2" t="s">
        <v>318</v>
      </c>
    </row>
    <row r="4" customFormat="false" ht="30" hidden="false" customHeight="true" outlineLevel="0" collapsed="false">
      <c r="A4" s="4" t="s">
        <v>319</v>
      </c>
      <c r="B4" s="4" t="s">
        <v>163</v>
      </c>
      <c r="C4" s="4" t="s">
        <v>320</v>
      </c>
      <c r="D4" s="4" t="s">
        <v>321</v>
      </c>
      <c r="E4" s="4" t="s">
        <v>322</v>
      </c>
      <c r="F4" s="4" t="s">
        <v>323</v>
      </c>
    </row>
    <row r="5" customFormat="false" ht="15" hidden="false" customHeight="false" outlineLevel="0" collapsed="false">
      <c r="A5" s="14" t="s">
        <v>324</v>
      </c>
      <c r="B5" s="5" t="s">
        <v>325</v>
      </c>
      <c r="C5" s="14" t="n">
        <f aca="false">COUNTIFS(03_คะแนน_PreTest!AE5:AE32,"&gt;="&amp;0,03_คะแนน_PreTest!AE5:AE32,"&lt;="&amp;4)</f>
        <v>1</v>
      </c>
      <c r="D5" s="14" t="n">
        <f aca="false">COUNTIFS(04_คะแนน_PostTest!AE5:AE49,"&gt;="&amp;0,04_คะแนน_PostTest!AE5:AE49,"&lt;="&amp;4)</f>
        <v>1</v>
      </c>
      <c r="E5" s="10" t="n">
        <f aca="false">C5/SUM($C$5:$C$9)</f>
        <v>0.0357142857142857</v>
      </c>
      <c r="F5" s="10" t="n">
        <f aca="false">D5/SUM($D$5:$D$9)</f>
        <v>0.0222222222222222</v>
      </c>
    </row>
    <row r="6" customFormat="false" ht="15" hidden="false" customHeight="false" outlineLevel="0" collapsed="false">
      <c r="A6" s="14" t="s">
        <v>326</v>
      </c>
      <c r="B6" s="5" t="s">
        <v>327</v>
      </c>
      <c r="C6" s="14" t="n">
        <f aca="false">COUNTIFS(03_คะแนน_PreTest!AE5:AE32,"&gt;="&amp;5,03_คะแนน_PreTest!AE5:AE32,"&lt;="&amp;9)</f>
        <v>6</v>
      </c>
      <c r="D6" s="14" t="n">
        <f aca="false">COUNTIFS(04_คะแนน_PostTest!AE5:AE49,"&gt;="&amp;5,04_คะแนน_PostTest!AE5:AE49,"&lt;="&amp;9)</f>
        <v>3</v>
      </c>
      <c r="E6" s="10" t="n">
        <f aca="false">C6/SUM($C$5:$C$9)</f>
        <v>0.214285714285714</v>
      </c>
      <c r="F6" s="10" t="n">
        <f aca="false">D6/SUM($D$5:$D$9)</f>
        <v>0.0666666666666667</v>
      </c>
    </row>
    <row r="7" customFormat="false" ht="15" hidden="false" customHeight="false" outlineLevel="0" collapsed="false">
      <c r="A7" s="14" t="s">
        <v>328</v>
      </c>
      <c r="B7" s="5" t="s">
        <v>329</v>
      </c>
      <c r="C7" s="14" t="n">
        <f aca="false">COUNTIFS(03_คะแนน_PreTest!AE5:AE32,"&gt;="&amp;10,03_คะแนน_PreTest!AE5:AE32,"&lt;="&amp;14)</f>
        <v>8</v>
      </c>
      <c r="D7" s="14" t="n">
        <f aca="false">COUNTIFS(04_คะแนน_PostTest!AE5:AE49,"&gt;="&amp;10,04_คะแนน_PostTest!AE5:AE49,"&lt;="&amp;14)</f>
        <v>5</v>
      </c>
      <c r="E7" s="10" t="n">
        <f aca="false">C7/SUM($C$5:$C$9)</f>
        <v>0.285714285714286</v>
      </c>
      <c r="F7" s="10" t="n">
        <f aca="false">D7/SUM($D$5:$D$9)</f>
        <v>0.111111111111111</v>
      </c>
    </row>
    <row r="8" customFormat="false" ht="15" hidden="false" customHeight="false" outlineLevel="0" collapsed="false">
      <c r="A8" s="14" t="s">
        <v>330</v>
      </c>
      <c r="B8" s="5" t="s">
        <v>331</v>
      </c>
      <c r="C8" s="14" t="n">
        <f aca="false">COUNTIFS(03_คะแนน_PreTest!AE5:AE32,"&gt;="&amp;15,03_คะแนน_PreTest!AE5:AE32,"&lt;="&amp;19)</f>
        <v>8</v>
      </c>
      <c r="D8" s="14" t="n">
        <f aca="false">COUNTIFS(04_คะแนน_PostTest!AE5:AE49,"&gt;="&amp;15,04_คะแนน_PostTest!AE5:AE49,"&lt;="&amp;19)</f>
        <v>16</v>
      </c>
      <c r="E8" s="10" t="n">
        <f aca="false">C8/SUM($C$5:$C$9)</f>
        <v>0.285714285714286</v>
      </c>
      <c r="F8" s="10" t="n">
        <f aca="false">D8/SUM($D$5:$D$9)</f>
        <v>0.355555555555556</v>
      </c>
    </row>
    <row r="9" customFormat="false" ht="15" hidden="false" customHeight="false" outlineLevel="0" collapsed="false">
      <c r="A9" s="14" t="s">
        <v>332</v>
      </c>
      <c r="B9" s="5" t="s">
        <v>333</v>
      </c>
      <c r="C9" s="14" t="n">
        <f aca="false">COUNTIFS(03_คะแนน_PreTest!AE5:AE32,"&gt;="&amp;20,03_คะแนน_PreTest!AE5:AE32,"&lt;="&amp;25)</f>
        <v>5</v>
      </c>
      <c r="D9" s="14" t="n">
        <f aca="false">COUNTIFS(04_คะแนน_PostTest!AE5:AE49,"&gt;="&amp;20,04_คะแนน_PostTest!AE5:AE49,"&lt;="&amp;25)</f>
        <v>20</v>
      </c>
      <c r="E9" s="10" t="n">
        <f aca="false">C9/SUM($C$5:$C$9)</f>
        <v>0.178571428571429</v>
      </c>
      <c r="F9" s="10" t="n">
        <f aca="false">D9/SUM($D$5:$D$9)</f>
        <v>0.444444444444444</v>
      </c>
    </row>
    <row r="10" customFormat="false" ht="15" hidden="false" customHeight="false" outlineLevel="0" collapsed="false">
      <c r="B10" s="20" t="s">
        <v>334</v>
      </c>
      <c r="C10" s="26" t="n">
        <f aca="false">SUM(C5:C9)</f>
        <v>28</v>
      </c>
      <c r="D10" s="26" t="n">
        <f aca="false">SUM(D5:D9)</f>
        <v>45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4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2" min="2" style="0" width="12"/>
    <col collapsed="false" customWidth="true" hidden="false" outlineLevel="0" max="3" min="3" style="0" width="10"/>
    <col collapsed="false" customWidth="true" hidden="false" outlineLevel="0" max="4" min="4" style="0" width="12"/>
    <col collapsed="false" customWidth="true" hidden="false" outlineLevel="0" max="5" min="5" style="0" width="10"/>
    <col collapsed="false" customWidth="true" hidden="false" outlineLevel="0" max="6" min="6" style="0" width="14"/>
  </cols>
  <sheetData>
    <row r="1" customFormat="false" ht="17.15" hidden="false" customHeight="false" outlineLevel="0" collapsed="false">
      <c r="A1" s="1" t="s">
        <v>335</v>
      </c>
    </row>
    <row r="2" customFormat="false" ht="15" hidden="false" customHeight="false" outlineLevel="0" collapsed="false">
      <c r="A2" s="2" t="s">
        <v>336</v>
      </c>
    </row>
    <row r="4" customFormat="false" ht="15" hidden="false" customHeight="false" outlineLevel="0" collapsed="false">
      <c r="A4" s="27" t="s">
        <v>337</v>
      </c>
    </row>
    <row r="5" customFormat="false" ht="30" hidden="false" customHeight="true" outlineLevel="0" collapsed="false">
      <c r="A5" s="4" t="s">
        <v>338</v>
      </c>
      <c r="B5" s="4" t="s">
        <v>310</v>
      </c>
      <c r="C5" s="4" t="s">
        <v>322</v>
      </c>
      <c r="D5" s="4" t="s">
        <v>312</v>
      </c>
      <c r="E5" s="4" t="s">
        <v>323</v>
      </c>
      <c r="F5" s="4" t="s">
        <v>294</v>
      </c>
    </row>
    <row r="6" customFormat="false" ht="15" hidden="false" customHeight="false" outlineLevel="0" collapsed="false">
      <c r="A6" s="5" t="s">
        <v>339</v>
      </c>
      <c r="B6" s="14" t="n">
        <v>11</v>
      </c>
      <c r="C6" s="10" t="n">
        <v>0.392857142857143</v>
      </c>
      <c r="D6" s="14" t="n">
        <v>14</v>
      </c>
      <c r="E6" s="10" t="n">
        <v>0.311111111111111</v>
      </c>
      <c r="F6" s="11" t="n">
        <f aca="false">E6-C6</f>
        <v>-0.0817460317460317</v>
      </c>
    </row>
    <row r="7" customFormat="false" ht="15" hidden="false" customHeight="false" outlineLevel="0" collapsed="false">
      <c r="A7" s="5" t="s">
        <v>340</v>
      </c>
      <c r="B7" s="14" t="n">
        <v>7</v>
      </c>
      <c r="C7" s="10" t="n">
        <v>0.25</v>
      </c>
      <c r="D7" s="14" t="n">
        <v>17</v>
      </c>
      <c r="E7" s="10" t="n">
        <v>0.377777777777778</v>
      </c>
      <c r="F7" s="11" t="n">
        <f aca="false">E7-C7</f>
        <v>0.127777777777778</v>
      </c>
    </row>
    <row r="8" customFormat="false" ht="15" hidden="false" customHeight="false" outlineLevel="0" collapsed="false">
      <c r="A8" s="5" t="s">
        <v>341</v>
      </c>
      <c r="B8" s="14" t="n">
        <v>8</v>
      </c>
      <c r="C8" s="10" t="n">
        <v>0.285714285714286</v>
      </c>
      <c r="D8" s="14" t="n">
        <v>5</v>
      </c>
      <c r="E8" s="10" t="n">
        <v>0.111111111111111</v>
      </c>
      <c r="F8" s="11" t="n">
        <f aca="false">E8-C8</f>
        <v>-0.174603174603175</v>
      </c>
    </row>
    <row r="9" customFormat="false" ht="15" hidden="false" customHeight="false" outlineLevel="0" collapsed="false">
      <c r="A9" s="5" t="s">
        <v>342</v>
      </c>
      <c r="B9" s="14" t="n">
        <v>2</v>
      </c>
      <c r="C9" s="10" t="n">
        <v>0.0714285714285714</v>
      </c>
      <c r="D9" s="14" t="n">
        <v>9</v>
      </c>
      <c r="E9" s="10" t="n">
        <v>0.2</v>
      </c>
      <c r="F9" s="11" t="n">
        <f aca="false">E9-C9</f>
        <v>0.128571428571429</v>
      </c>
    </row>
    <row r="10" customFormat="false" ht="15" hidden="false" customHeight="false" outlineLevel="0" collapsed="false">
      <c r="A10" s="20" t="s">
        <v>343</v>
      </c>
      <c r="B10" s="26" t="n">
        <f aca="false">SUM(B6:B9)</f>
        <v>28</v>
      </c>
      <c r="D10" s="26" t="n">
        <f aca="false">SUM(D6:D9)</f>
        <v>45</v>
      </c>
    </row>
    <row r="13" customFormat="false" ht="15" hidden="false" customHeight="false" outlineLevel="0" collapsed="false">
      <c r="A13" s="27" t="s">
        <v>344</v>
      </c>
    </row>
    <row r="14" customFormat="false" ht="30" hidden="false" customHeight="true" outlineLevel="0" collapsed="false">
      <c r="A14" s="4" t="s">
        <v>338</v>
      </c>
      <c r="B14" s="4" t="s">
        <v>310</v>
      </c>
      <c r="C14" s="4" t="s">
        <v>322</v>
      </c>
      <c r="D14" s="4" t="s">
        <v>312</v>
      </c>
      <c r="E14" s="4" t="s">
        <v>323</v>
      </c>
      <c r="F14" s="4" t="s">
        <v>294</v>
      </c>
    </row>
    <row r="15" customFormat="false" ht="15" hidden="false" customHeight="false" outlineLevel="0" collapsed="false">
      <c r="A15" s="5" t="s">
        <v>345</v>
      </c>
      <c r="B15" s="14" t="n">
        <v>12</v>
      </c>
      <c r="C15" s="10" t="n">
        <v>0.428571428571429</v>
      </c>
      <c r="D15" s="14" t="n">
        <v>25</v>
      </c>
      <c r="E15" s="10" t="n">
        <v>0.555555555555556</v>
      </c>
      <c r="F15" s="11" t="n">
        <f aca="false">E15-C15</f>
        <v>0.126984126984127</v>
      </c>
    </row>
    <row r="16" customFormat="false" ht="15" hidden="false" customHeight="false" outlineLevel="0" collapsed="false">
      <c r="A16" s="5" t="s">
        <v>346</v>
      </c>
      <c r="B16" s="14" t="n">
        <v>12</v>
      </c>
      <c r="C16" s="10" t="n">
        <v>0.428571428571429</v>
      </c>
      <c r="D16" s="14" t="n">
        <v>16</v>
      </c>
      <c r="E16" s="10" t="n">
        <v>0.355555555555556</v>
      </c>
      <c r="F16" s="11" t="n">
        <f aca="false">E16-C16</f>
        <v>-0.0730158730158729</v>
      </c>
    </row>
    <row r="17" customFormat="false" ht="15" hidden="false" customHeight="false" outlineLevel="0" collapsed="false">
      <c r="A17" s="5" t="s">
        <v>347</v>
      </c>
      <c r="B17" s="14" t="n">
        <v>4</v>
      </c>
      <c r="C17" s="10" t="n">
        <v>0.142857142857143</v>
      </c>
      <c r="D17" s="14" t="n">
        <v>4</v>
      </c>
      <c r="E17" s="10" t="n">
        <v>0.0888888888888889</v>
      </c>
      <c r="F17" s="11" t="n">
        <f aca="false">E17-C17</f>
        <v>-0.0539682539682539</v>
      </c>
    </row>
    <row r="18" customFormat="false" ht="15" hidden="false" customHeight="false" outlineLevel="0" collapsed="false">
      <c r="A18" s="20" t="s">
        <v>343</v>
      </c>
      <c r="B18" s="26" t="n">
        <f aca="false">SUM(B15:B17)</f>
        <v>28</v>
      </c>
      <c r="D18" s="26" t="n">
        <f aca="false">SUM(D15:D17)</f>
        <v>45</v>
      </c>
    </row>
    <row r="21" customFormat="false" ht="15" hidden="false" customHeight="false" outlineLevel="0" collapsed="false">
      <c r="A21" s="27" t="s">
        <v>348</v>
      </c>
    </row>
    <row r="22" customFormat="false" ht="30" hidden="false" customHeight="true" outlineLevel="0" collapsed="false">
      <c r="A22" s="4" t="s">
        <v>338</v>
      </c>
      <c r="B22" s="4" t="s">
        <v>310</v>
      </c>
      <c r="C22" s="4" t="s">
        <v>322</v>
      </c>
      <c r="D22" s="4" t="s">
        <v>312</v>
      </c>
      <c r="E22" s="4" t="s">
        <v>323</v>
      </c>
      <c r="F22" s="4" t="s">
        <v>294</v>
      </c>
    </row>
    <row r="23" customFormat="false" ht="15" hidden="false" customHeight="false" outlineLevel="0" collapsed="false">
      <c r="A23" s="5" t="s">
        <v>349</v>
      </c>
      <c r="B23" s="14" t="n">
        <v>13</v>
      </c>
      <c r="C23" s="10" t="n">
        <v>0.464285714285714</v>
      </c>
      <c r="D23" s="14" t="n">
        <v>17</v>
      </c>
      <c r="E23" s="10" t="n">
        <v>0.377777777777778</v>
      </c>
      <c r="F23" s="11" t="n">
        <f aca="false">E23-C23</f>
        <v>-0.0865079365079365</v>
      </c>
    </row>
    <row r="24" customFormat="false" ht="15" hidden="false" customHeight="false" outlineLevel="0" collapsed="false">
      <c r="A24" s="5" t="s">
        <v>350</v>
      </c>
      <c r="B24" s="14" t="n">
        <v>9</v>
      </c>
      <c r="C24" s="10" t="n">
        <v>0.321428571428572</v>
      </c>
      <c r="D24" s="14" t="n">
        <v>18</v>
      </c>
      <c r="E24" s="10" t="n">
        <v>0.4</v>
      </c>
      <c r="F24" s="11" t="n">
        <f aca="false">E24-C24</f>
        <v>0.0785714285714285</v>
      </c>
    </row>
    <row r="25" customFormat="false" ht="15" hidden="false" customHeight="false" outlineLevel="0" collapsed="false">
      <c r="A25" s="5" t="s">
        <v>341</v>
      </c>
      <c r="B25" s="14" t="n">
        <v>2</v>
      </c>
      <c r="C25" s="10" t="n">
        <v>0.0714285714285714</v>
      </c>
      <c r="D25" s="14" t="n">
        <v>7</v>
      </c>
      <c r="E25" s="10" t="n">
        <v>0.155555555555556</v>
      </c>
      <c r="F25" s="11" t="n">
        <f aca="false">E25-C25</f>
        <v>0.0841269841269842</v>
      </c>
    </row>
    <row r="26" customFormat="false" ht="15" hidden="false" customHeight="false" outlineLevel="0" collapsed="false">
      <c r="A26" s="5" t="s">
        <v>351</v>
      </c>
      <c r="B26" s="14" t="n">
        <v>4</v>
      </c>
      <c r="C26" s="10" t="n">
        <v>0.142857142857143</v>
      </c>
      <c r="D26" s="14" t="n">
        <v>3</v>
      </c>
      <c r="E26" s="10" t="n">
        <v>0.0666666666666667</v>
      </c>
      <c r="F26" s="11" t="n">
        <f aca="false">E26-C26</f>
        <v>-0.0761904761904761</v>
      </c>
    </row>
    <row r="27" customFormat="false" ht="15" hidden="false" customHeight="false" outlineLevel="0" collapsed="false">
      <c r="A27" s="20" t="s">
        <v>343</v>
      </c>
      <c r="B27" s="26" t="n">
        <f aca="false">SUM(B23:B26)</f>
        <v>28</v>
      </c>
      <c r="D27" s="26" t="n">
        <f aca="false">SUM(D23:D26)</f>
        <v>45</v>
      </c>
    </row>
    <row r="30" customFormat="false" ht="15" hidden="false" customHeight="false" outlineLevel="0" collapsed="false">
      <c r="A30" s="27" t="s">
        <v>352</v>
      </c>
    </row>
    <row r="31" customFormat="false" ht="30" hidden="false" customHeight="true" outlineLevel="0" collapsed="false">
      <c r="A31" s="4" t="s">
        <v>338</v>
      </c>
      <c r="B31" s="4" t="s">
        <v>310</v>
      </c>
      <c r="C31" s="4" t="s">
        <v>322</v>
      </c>
      <c r="D31" s="4" t="s">
        <v>312</v>
      </c>
      <c r="E31" s="4" t="s">
        <v>323</v>
      </c>
      <c r="F31" s="4" t="s">
        <v>294</v>
      </c>
    </row>
    <row r="32" customFormat="false" ht="15" hidden="false" customHeight="false" outlineLevel="0" collapsed="false">
      <c r="A32" s="5" t="s">
        <v>353</v>
      </c>
      <c r="B32" s="14" t="n">
        <v>15</v>
      </c>
      <c r="C32" s="10" t="n">
        <v>0.535714285714286</v>
      </c>
      <c r="D32" s="14" t="n">
        <v>15</v>
      </c>
      <c r="E32" s="10" t="n">
        <v>0.333333333333333</v>
      </c>
      <c r="F32" s="11" t="n">
        <f aca="false">E32-C32</f>
        <v>-0.202380952380952</v>
      </c>
    </row>
    <row r="33" customFormat="false" ht="15" hidden="false" customHeight="false" outlineLevel="0" collapsed="false">
      <c r="A33" s="5" t="s">
        <v>354</v>
      </c>
      <c r="B33" s="14" t="n">
        <v>7</v>
      </c>
      <c r="C33" s="10" t="n">
        <v>0.25</v>
      </c>
      <c r="D33" s="14" t="n">
        <v>15</v>
      </c>
      <c r="E33" s="10" t="n">
        <v>0.333333333333333</v>
      </c>
      <c r="F33" s="11" t="n">
        <f aca="false">E33-C33</f>
        <v>0.0833333333333333</v>
      </c>
    </row>
    <row r="34" customFormat="false" ht="15" hidden="false" customHeight="false" outlineLevel="0" collapsed="false">
      <c r="A34" s="5" t="s">
        <v>355</v>
      </c>
      <c r="B34" s="14" t="n">
        <v>6</v>
      </c>
      <c r="C34" s="10" t="n">
        <v>0.214285714285714</v>
      </c>
      <c r="D34" s="14" t="n">
        <v>12</v>
      </c>
      <c r="E34" s="10" t="n">
        <v>0.266666666666667</v>
      </c>
      <c r="F34" s="11" t="n">
        <f aca="false">E34-C34</f>
        <v>0.0523809523809524</v>
      </c>
    </row>
    <row r="35" customFormat="false" ht="15" hidden="false" customHeight="false" outlineLevel="0" collapsed="false">
      <c r="A35" s="5" t="s">
        <v>356</v>
      </c>
      <c r="B35" s="14" t="n">
        <v>0</v>
      </c>
      <c r="C35" s="10" t="n">
        <v>0</v>
      </c>
      <c r="D35" s="14" t="n">
        <v>3</v>
      </c>
      <c r="E35" s="10" t="n">
        <v>0.0666666666666667</v>
      </c>
      <c r="F35" s="11" t="n">
        <f aca="false">E35-C35</f>
        <v>0.0666666666666667</v>
      </c>
    </row>
    <row r="36" customFormat="false" ht="15" hidden="false" customHeight="false" outlineLevel="0" collapsed="false">
      <c r="A36" s="20" t="s">
        <v>343</v>
      </c>
      <c r="B36" s="26" t="n">
        <f aca="false">SUM(B32:B35)</f>
        <v>28</v>
      </c>
      <c r="D36" s="26" t="n">
        <f aca="false">SUM(D32:D35)</f>
        <v>45</v>
      </c>
    </row>
    <row r="39" customFormat="false" ht="15" hidden="false" customHeight="false" outlineLevel="0" collapsed="false">
      <c r="A39" s="27" t="s">
        <v>357</v>
      </c>
    </row>
    <row r="40" customFormat="false" ht="30" hidden="false" customHeight="true" outlineLevel="0" collapsed="false">
      <c r="A40" s="4" t="s">
        <v>338</v>
      </c>
      <c r="B40" s="4" t="s">
        <v>310</v>
      </c>
      <c r="C40" s="4" t="s">
        <v>322</v>
      </c>
      <c r="D40" s="4" t="s">
        <v>312</v>
      </c>
      <c r="E40" s="4" t="s">
        <v>323</v>
      </c>
      <c r="F40" s="4" t="s">
        <v>294</v>
      </c>
    </row>
    <row r="41" customFormat="false" ht="15" hidden="false" customHeight="false" outlineLevel="0" collapsed="false">
      <c r="A41" s="5" t="s">
        <v>358</v>
      </c>
      <c r="B41" s="14" t="n">
        <v>10</v>
      </c>
      <c r="C41" s="10" t="n">
        <v>0.357142857142857</v>
      </c>
      <c r="D41" s="14" t="n">
        <v>22</v>
      </c>
      <c r="E41" s="10" t="n">
        <v>0.488888888888889</v>
      </c>
      <c r="F41" s="11" t="n">
        <f aca="false">E41-C41</f>
        <v>0.131746031746032</v>
      </c>
    </row>
    <row r="42" customFormat="false" ht="15" hidden="false" customHeight="false" outlineLevel="0" collapsed="false">
      <c r="A42" s="5" t="s">
        <v>359</v>
      </c>
      <c r="B42" s="14" t="n">
        <v>10</v>
      </c>
      <c r="C42" s="10" t="n">
        <v>0.357142857142857</v>
      </c>
      <c r="D42" s="14" t="n">
        <v>13</v>
      </c>
      <c r="E42" s="10" t="n">
        <v>0.288888888888889</v>
      </c>
      <c r="F42" s="11" t="n">
        <f aca="false">E42-C42</f>
        <v>-0.0682539682539683</v>
      </c>
    </row>
    <row r="43" customFormat="false" ht="15" hidden="false" customHeight="false" outlineLevel="0" collapsed="false">
      <c r="A43" s="5" t="s">
        <v>355</v>
      </c>
      <c r="B43" s="14" t="n">
        <v>6</v>
      </c>
      <c r="C43" s="10" t="n">
        <v>0.214285714285714</v>
      </c>
      <c r="D43" s="14" t="n">
        <v>9</v>
      </c>
      <c r="E43" s="10" t="n">
        <v>0.2</v>
      </c>
      <c r="F43" s="11" t="n">
        <f aca="false">E43-C43</f>
        <v>-0.0142857142857143</v>
      </c>
    </row>
    <row r="44" customFormat="false" ht="15" hidden="false" customHeight="false" outlineLevel="0" collapsed="false">
      <c r="A44" s="5" t="s">
        <v>360</v>
      </c>
      <c r="B44" s="14" t="n">
        <v>2</v>
      </c>
      <c r="C44" s="10" t="n">
        <v>0.0714285714285714</v>
      </c>
      <c r="D44" s="14" t="n">
        <v>1</v>
      </c>
      <c r="E44" s="10" t="n">
        <v>0.0222222222222222</v>
      </c>
      <c r="F44" s="11" t="n">
        <f aca="false">E44-C44</f>
        <v>-0.0492063492063492</v>
      </c>
    </row>
    <row r="45" customFormat="false" ht="15" hidden="false" customHeight="false" outlineLevel="0" collapsed="false">
      <c r="A45" s="20" t="s">
        <v>343</v>
      </c>
      <c r="B45" s="26" t="n">
        <f aca="false">SUM(B41:B44)</f>
        <v>28</v>
      </c>
      <c r="D45" s="26" t="n">
        <f aca="false">SUM(D41:D44)</f>
        <v>45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110"/>
  </cols>
  <sheetData>
    <row r="1" customFormat="false" ht="17.15" hidden="false" customHeight="false" outlineLevel="0" collapsed="false">
      <c r="A1" s="1" t="s">
        <v>361</v>
      </c>
    </row>
    <row r="4" customFormat="false" ht="15" hidden="false" customHeight="false" outlineLevel="0" collapsed="false">
      <c r="B4" s="28" t="s">
        <v>362</v>
      </c>
    </row>
    <row r="5" customFormat="false" ht="15" hidden="false" customHeight="false" outlineLevel="0" collapsed="false">
      <c r="B5" s="29"/>
    </row>
    <row r="6" customFormat="false" ht="15" hidden="false" customHeight="false" outlineLevel="0" collapsed="false">
      <c r="B6" s="29" t="s">
        <v>363</v>
      </c>
    </row>
    <row r="7" customFormat="false" ht="15" hidden="false" customHeight="false" outlineLevel="0" collapsed="false">
      <c r="B7" s="29" t="s">
        <v>364</v>
      </c>
    </row>
    <row r="8" customFormat="false" ht="15" hidden="false" customHeight="false" outlineLevel="0" collapsed="false">
      <c r="B8" s="29" t="s">
        <v>365</v>
      </c>
    </row>
    <row r="9" customFormat="false" ht="15" hidden="false" customHeight="false" outlineLevel="0" collapsed="false">
      <c r="B9" s="29" t="s">
        <v>366</v>
      </c>
    </row>
    <row r="10" customFormat="false" ht="15" hidden="false" customHeight="false" outlineLevel="0" collapsed="false">
      <c r="B10" s="29" t="s">
        <v>367</v>
      </c>
    </row>
    <row r="11" customFormat="false" ht="15" hidden="false" customHeight="false" outlineLevel="0" collapsed="false">
      <c r="B11" s="29" t="s">
        <v>368</v>
      </c>
    </row>
    <row r="12" customFormat="false" ht="15" hidden="false" customHeight="false" outlineLevel="0" collapsed="false">
      <c r="B12" s="29" t="s">
        <v>369</v>
      </c>
    </row>
    <row r="13" customFormat="false" ht="15" hidden="false" customHeight="false" outlineLevel="0" collapsed="false">
      <c r="B13" s="29" t="s">
        <v>370</v>
      </c>
    </row>
    <row r="14" customFormat="false" ht="15" hidden="false" customHeight="false" outlineLevel="0" collapsed="false">
      <c r="B14" s="29" t="s">
        <v>371</v>
      </c>
    </row>
    <row r="15" customFormat="false" ht="15" hidden="false" customHeight="false" outlineLevel="0" collapsed="false">
      <c r="B15" s="29" t="s">
        <v>372</v>
      </c>
    </row>
    <row r="16" customFormat="false" ht="23.85" hidden="false" customHeight="false" outlineLevel="0" collapsed="false">
      <c r="B16" s="29" t="s">
        <v>373</v>
      </c>
    </row>
    <row r="17" customFormat="false" ht="15" hidden="false" customHeight="false" outlineLevel="0" collapsed="false">
      <c r="B17" s="29" t="s">
        <v>374</v>
      </c>
    </row>
    <row r="18" customFormat="false" ht="15" hidden="false" customHeight="false" outlineLevel="0" collapsed="false">
      <c r="B18" s="29"/>
    </row>
    <row r="19" customFormat="false" ht="15" hidden="false" customHeight="false" outlineLevel="0" collapsed="false">
      <c r="B19" s="28" t="s">
        <v>375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2026-08-26T12:45:46Z</dcterms:created>
  <dc:creator>openpyxl</dc:creator>
  <dc:description/>
  <dc:language>en-US</dc:language>
  <cp:lastModifiedBy/>
  <dcterms:modified xsi:type="dcterms:W3CDTF">2026-08-26T12:45:46Z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